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cdead549c948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uning" sheetId="1" r:id="R784718ef299c48bb"/>
    <x:sheet xmlns:r="http://schemas.openxmlformats.org/officeDocument/2006/relationships" name="Simulation" sheetId="2" r:id="R02a3f44fdfaf45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E+00"/>
    <x:numFmt numFmtId="202" formatCode="0.00"/>
  </x:numFmts>
  <x:fonts count="4">
    <x:font>
      <x:sz val="11"/>
      <x:name val="Carlito"/>
    </x:font>
    <x:font>
      <x:sz val="10"/>
      <x:color rgb="FF203048"/>
      <x:name val="Arial"/>
    </x:font>
    <x:font>
      <x:b/>
      <x:sz val="16"/>
      <x:color rgb="FF203048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54B"/>
      </x:patternFill>
    </x:fill>
    <x:fill>
      <x:patternFill patternType="solid">
        <x:fgColor rgb="FFFFF0C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18dcecef0b45d1" /><Relationship Type="http://schemas.openxmlformats.org/officeDocument/2006/relationships/theme" Target="/xl/theme/theme1.xml" Id="Rdd8aaf6a8d484da3" /><Relationship Type="http://schemas.openxmlformats.org/officeDocument/2006/relationships/sharedStrings" Target="/xl/sharedStrings.xml" Id="Rb8cf7179ae694628" /><Relationship Type="http://schemas.openxmlformats.org/officeDocument/2006/relationships/worksheet" Target="/xl/worksheets/sheet1.xml" Id="R784718ef299c48bb" /><Relationship Type="http://schemas.openxmlformats.org/officeDocument/2006/relationships/worksheet" Target="/xl/worksheets/sheet2.xml" Id="R02a3f44fdfaf45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17" hidden="0" customWidth="1"/>
    <x:col min="3" max="3" width="22" hidden="0" customWidth="1"/>
    <x:col min="4" max="4" width="45" hidden="0" customWidth="1"/>
    <x:col min="5" max="5" width="24" hidden="0" customWidth="1"/>
    <x:col min="6" max="6" width="24" hidden="0" customWidth="1"/>
    <x:col min="7" max="7" width="17" hidden="0" customWidth="1"/>
    <x:col min="8" max="8" width="76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</x:row>
    <x:row r="2" ht="21" customHeight="1">
      <x:c r="A2" s="2" t="str">
        <x:v>Dungeon Titan v3 tuning</x:v>
      </x:c>
      <x:c r="B2" s="1"/>
      <x:c r="C2" s="1"/>
      <x:c r="D2" s="1"/>
      <x:c r="E2" s="1"/>
      <x:c r="F2" s="1"/>
      <x:c r="G2" s="1"/>
      <x:c r="H2" s="1"/>
    </x:row>
    <x:row r="3" ht="21" customHeight="1">
      <x:c r="A3" s="1" t="str">
        <x:v>PLACEHOLDER values. Formula curves; simulation outputs are snapshots.</x:v>
      </x:c>
      <x:c r="B3" s="1"/>
      <x:c r="C3" s="1"/>
      <x:c r="D3" s="1"/>
      <x:c r="E3" s="1"/>
      <x:c r="F3" s="1"/>
      <x:c r="G3" s="1"/>
      <x:c r="H3" s="1"/>
    </x:row>
    <x:row r="4" ht="21" customHeight="1">
      <x:c r="A4" s="1"/>
      <x:c r="B4" s="1"/>
      <x:c r="C4" s="1"/>
      <x:c r="D4" s="1"/>
      <x:c r="E4" s="1"/>
      <x:c r="F4" s="1"/>
      <x:c r="G4" s="1"/>
      <x:c r="H4" s="1"/>
    </x:row>
    <x:row r="5" ht="26" customHeight="1">
      <x:c r="A5" s="4" t="str">
        <x:v>Driver</x:v>
      </x:c>
      <x:c r="B5" s="4" t="str">
        <x:v>Value</x:v>
      </x:c>
      <x:c r="C5" s="4" t="str">
        <x:v>Unit</x:v>
      </x:c>
      <x:c r="D5" s="4" t="str">
        <x:v>Rationale</x:v>
      </x:c>
      <x:c r="E5" s="1"/>
      <x:c r="F5" s="1"/>
      <x:c r="G5" s="1"/>
      <x:c r="H5" s="1" t="str">
        <x:v>Source</x:v>
      </x:c>
    </x:row>
    <x:row r="6" ht="21" customHeight="1">
      <x:c r="A6" s="1" t="str">
        <x:v>Monster HP base</x:v>
      </x:c>
      <x:c r="B6" s="6" t="n">
        <x:v>85</x:v>
      </x:c>
      <x:c r="C6" s="1" t="str">
        <x:v>HP</x:v>
      </x:c>
      <x:c r="D6" s="1" t="str">
        <x:v>Early target around 6–8 basic taps</x:v>
      </x:c>
      <x:c r="E6" s="1"/>
      <x:c r="F6" s="1"/>
      <x:c r="G6" s="1"/>
      <x:c r="H6" s="1" t="str">
        <x:v>engine.ts, storyChapters.ts, upgradeMath.ts, equipmentData.ts, director.ts</x:v>
      </x:c>
    </x:row>
    <x:row r="7" ht="21" customHeight="1">
      <x:c r="A7" s="1" t="str">
        <x:v>Monster HP growth</x:v>
      </x:c>
      <x:c r="B7" s="6" t="n">
        <x:v>1.16</x:v>
      </x:c>
      <x:c r="C7" s="1" t="str">
        <x:v>factor / floor</x:v>
      </x:c>
      <x:c r="D7" s="1" t="str">
        <x:v>Match gold growth</x:v>
      </x:c>
      <x:c r="E7" s="1"/>
      <x:c r="F7" s="1"/>
      <x:c r="G7" s="1"/>
      <x:c r="H7" s="1"/>
    </x:row>
    <x:row r="8" ht="21" customHeight="1">
      <x:c r="A8" s="1" t="str">
        <x:v>Gold base</x:v>
      </x:c>
      <x:c r="B8" s="6" t="n">
        <x:v>18</x:v>
      </x:c>
      <x:c r="C8" s="1" t="str">
        <x:v>gold / kill</x:v>
      </x:c>
      <x:c r="D8" s="1" t="str">
        <x:v>Allows early hero upgrade</x:v>
      </x:c>
      <x:c r="E8" s="1"/>
      <x:c r="F8" s="1"/>
      <x:c r="G8" s="1"/>
      <x:c r="H8" s="1" t="str">
        <x:v>Yellow cells are editable. Changes do not automatically modify game source.</x:v>
      </x:c>
    </x:row>
    <x:row r="9" ht="21" customHeight="1">
      <x:c r="A9" s="1" t="str">
        <x:v>Gold growth</x:v>
      </x:c>
      <x:c r="B9" s="6" t="n">
        <x:v>1.16</x:v>
      </x:c>
      <x:c r="C9" s="1" t="str">
        <x:v>factor / floor</x:v>
      </x:c>
      <x:c r="D9" s="1" t="str">
        <x:v>Same slope as enemy health</x:v>
      </x:c>
      <x:c r="E9" s="1"/>
      <x:c r="F9" s="1"/>
      <x:c r="G9" s="1"/>
      <x:c r="H9" s="1"/>
    </x:row>
    <x:row r="10" ht="21" customHeight="1">
      <x:c r="A10" s="1" t="str">
        <x:v>Hero cost base</x:v>
      </x:c>
      <x:c r="B10" s="6" t="n">
        <x:v>18</x:v>
      </x:c>
      <x:c r="C10" s="1" t="str">
        <x:v>gold / level</x:v>
      </x:c>
      <x:c r="D10" s="1" t="str">
        <x:v>First meaningful gold sink</x:v>
      </x:c>
      <x:c r="E10" s="1"/>
      <x:c r="F10" s="1"/>
      <x:c r="G10" s="1"/>
      <x:c r="H10" s="1" t="str">
        <x:v>Boss HP excludes room-specific modifiers.</x:v>
      </x:c>
    </x:row>
    <x:row r="11" ht="21" customHeight="1">
      <x:c r="A11" s="1" t="str">
        <x:v>Hero cost growth</x:v>
      </x:c>
      <x:c r="B11" s="6" t="n">
        <x:v>1.18</x:v>
      </x:c>
      <x:c r="C11" s="1" t="str">
        <x:v>factor / level</x:v>
      </x:c>
      <x:c r="D11" s="1" t="str">
        <x:v>Slower level acquisition late game</x:v>
      </x:c>
      <x:c r="E11" s="1"/>
      <x:c r="F11" s="1"/>
      <x:c r="G11" s="1"/>
      <x:c r="H11" s="1"/>
    </x:row>
    <x:row r="12" ht="21" customHeight="1">
      <x:c r="A12" s="1" t="str">
        <x:v>Hero tap base</x:v>
      </x:c>
      <x:c r="B12" s="6" t="n">
        <x:v>10</x:v>
      </x:c>
      <x:c r="C12" s="1" t="str">
        <x:v>damage</x:v>
      </x:c>
      <x:c r="D12" s="1" t="str">
        <x:v>Before stance and gear</x:v>
      </x:c>
      <x:c r="E12" s="1"/>
      <x:c r="F12" s="1"/>
      <x:c r="G12" s="1"/>
      <x:c r="H12" s="1"/>
    </x:row>
    <x:row r="13" ht="21" customHeight="1">
      <x:c r="A13" s="1" t="str">
        <x:v>Hero tap growth</x:v>
      </x:c>
      <x:c r="B13" s="6" t="n">
        <x:v>1.15</x:v>
      </x:c>
      <x:c r="C13" s="1" t="str">
        <x:v>factor / level</x:v>
      </x:c>
      <x:c r="D13" s="1" t="str">
        <x:v>Supports stage scaling</x:v>
      </x:c>
      <x:c r="E13" s="1"/>
      <x:c r="F13" s="1"/>
      <x:c r="G13" s="1"/>
      <x:c r="H13" s="1"/>
    </x:row>
    <x:row r="14" ht="21" customHeight="1">
      <x:c r="A14" s="1" t="str">
        <x:v>Hero milestone</x:v>
      </x:c>
      <x:c r="B14" s="6" t="n">
        <x:v>1.1</x:v>
      </x:c>
      <x:c r="C14" s="1" t="str">
        <x:v>factor / 5 levels</x:v>
      </x:c>
      <x:c r="D14" s="1" t="str">
        <x:v>Avoid prior 1.5x runaway</x:v>
      </x:c>
      <x:c r="E14" s="1"/>
      <x:c r="F14" s="1"/>
      <x:c r="G14" s="1"/>
      <x:c r="H14" s="1"/>
    </x:row>
    <x:row r="15" ht="21" customHeight="1">
      <x:c r="A15" s="1" t="str">
        <x:v>Boss HP multiplier</x:v>
      </x:c>
      <x:c r="B15" s="6" t="n">
        <x:v>4.8</x:v>
      </x:c>
      <x:c r="C15" s="1" t="str">
        <x:v>factor</x:v>
      </x:c>
      <x:c r="D15" s="1" t="str">
        <x:v>30 second timed encounter</x:v>
      </x:c>
      <x:c r="E15" s="1"/>
      <x:c r="F15" s="1"/>
      <x:c r="G15" s="1"/>
      <x:c r="H15" s="1"/>
    </x:row>
    <x:row r="16" ht="21" customHeight="1">
      <x:c r="A16" s="1" t="str">
        <x:v>Combo cap</x:v>
      </x:c>
      <x:c r="B16" s="6" t="n">
        <x:v>30</x:v>
      </x:c>
      <x:c r="C16" s="1" t="str">
        <x:v>taps</x:v>
      </x:c>
      <x:c r="D16" s="1" t="str">
        <x:v>Maximum +45% tap damage</x:v>
      </x:c>
      <x:c r="E16" s="1"/>
      <x:c r="F16" s="1"/>
      <x:c r="G16" s="1"/>
      <x:c r="H16" s="1"/>
    </x:row>
    <x:row r="17" ht="21" customHeight="1">
      <x:c r="A17" s="1" t="str">
        <x:v>Combo per hit</x:v>
      </x:c>
      <x:c r="B17" s="6" t="n">
        <x:v>0.015</x:v>
      </x:c>
      <x:c r="C17" s="1" t="str">
        <x:v>fraction</x:v>
      </x:c>
      <x:c r="D17" s="1" t="str">
        <x:v>Reward consistent rhythm</x:v>
      </x:c>
      <x:c r="E17" s="1"/>
      <x:c r="F17" s="1"/>
      <x:c r="G17" s="1"/>
      <x:c r="H17" s="1"/>
    </x:row>
    <x:row r="18" ht="21" customHeight="1">
      <x:c r="A18" s="1" t="str">
        <x:v>Gear slope</x:v>
      </x:c>
      <x:c r="B18" s="6" t="n">
        <x:v>0.03</x:v>
      </x:c>
      <x:c r="C18" s="1" t="str">
        <x:v>fraction / floor</x:v>
      </x:c>
      <x:c r="D18" s="1" t="str">
        <x:v>Replace exponential item growth</x:v>
      </x:c>
      <x:c r="E18" s="1"/>
      <x:c r="F18" s="1"/>
      <x:c r="G18" s="1"/>
      <x:c r="H18" s="1"/>
    </x:row>
    <x:row r="19" ht="21" customHeight="1">
      <x:c r="A19" s="1" t="str">
        <x:v>Gear upgrade multiplier</x:v>
      </x:c>
      <x:c r="B19" s="6" t="n">
        <x:v>1.12</x:v>
      </x:c>
      <x:c r="C19" s="1" t="str">
        <x:v>factor</x:v>
      </x:c>
      <x:c r="D19" s="1" t="str">
        <x:v>20 forge ranks maximum</x:v>
      </x:c>
      <x:c r="E19" s="1"/>
      <x:c r="F19" s="1"/>
      <x:c r="G19" s="1"/>
      <x:c r="H19" s="1"/>
    </x:row>
    <x:row r="20" ht="21" customHeight="1">
      <x:c r="A20" s="1" t="str">
        <x:v>Rune per rank</x:v>
      </x:c>
      <x:c r="B20" s="6" t="n">
        <x:v>0.04</x:v>
      </x:c>
      <x:c r="C20" s="1" t="str">
        <x:v>fraction</x:v>
      </x:c>
      <x:c r="D20" s="1" t="str">
        <x:v>Maximum +40% / branch</x:v>
      </x:c>
      <x:c r="E20" s="1"/>
      <x:c r="F20" s="1"/>
      <x:c r="G20" s="1"/>
      <x:c r="H20" s="1"/>
    </x:row>
    <x:row r="21" ht="21" customHeight="1">
      <x:c r="A21" s="1"/>
      <x:c r="B21" s="1"/>
      <x:c r="C21" s="1"/>
      <x:c r="D21" s="1"/>
      <x:c r="E21" s="1"/>
      <x:c r="F21" s="1"/>
      <x:c r="G21" s="1"/>
      <x:c r="H21" s="1"/>
    </x:row>
    <x:row r="22" ht="21" customHeight="1">
      <x:c r="A22" s="1"/>
      <x:c r="B22" s="1"/>
      <x:c r="C22" s="1"/>
      <x:c r="D22" s="1"/>
      <x:c r="E22" s="1"/>
      <x:c r="F22" s="1"/>
      <x:c r="G22" s="1"/>
      <x:c r="H22" s="1"/>
    </x:row>
    <x:row r="23" ht="29" customHeight="1">
      <x:c r="A23" s="4" t="str">
        <x:v>Floor / level</x:v>
      </x:c>
      <x:c r="B23" s="4" t="str">
        <x:v>Regular HP</x:v>
      </x:c>
      <x:c r="C23" s="4" t="str">
        <x:v>Boss HP</x:v>
      </x:c>
      <x:c r="D23" s="4" t="str">
        <x:v>Gold / kill</x:v>
      </x:c>
      <x:c r="E23" s="4" t="str">
        <x:v>Hero upgrade cost</x:v>
      </x:c>
      <x:c r="F23" s="4" t="str">
        <x:v>Hero tap before gear</x:v>
      </x:c>
      <x:c r="G23" s="1"/>
      <x:c r="H23" s="1"/>
    </x:row>
    <x:row r="24" ht="21" customHeight="1">
      <x:c r="A24" s="1" t="n">
        <x:v>1</x:v>
      </x:c>
      <x:c r="B24" s="7" t="n">
        <x:f>ROUND($B$6*$B$7^(A24-1),0)</x:f>
        <x:v>85</x:v>
      </x:c>
      <x:c r="C24" s="7" t="n">
        <x:f>ROUND(B24*$B$15,0)</x:f>
        <x:v>408</x:v>
      </x:c>
      <x:c r="D24" s="7" t="n">
        <x:f>ROUND($B$8*$B$9^(A24-1),0)</x:f>
        <x:v>18</x:v>
      </x:c>
      <x:c r="E24" s="7" t="n">
        <x:f>ROUND($B$10*$B$11^(A24-1),0)</x:f>
        <x:v>18</x:v>
      </x:c>
      <x:c r="F24" s="7" t="n">
        <x:f>ROUND($B$12*$B$13^(A24-1)*$B$14^INT(A24/5),0)</x:f>
        <x:v>10</x:v>
      </x:c>
      <x:c r="G24" s="1"/>
      <x:c r="H24" s="1"/>
    </x:row>
    <x:row r="25" ht="21" customHeight="1">
      <x:c r="A25" s="1" t="n">
        <x:v>2</x:v>
      </x:c>
      <x:c r="B25" s="7" t="n">
        <x:f>ROUND($B$6*$B$7^(A25-1),0)</x:f>
        <x:v>99</x:v>
      </x:c>
      <x:c r="C25" s="7" t="n">
        <x:f>ROUND(B25*$B$15,0)</x:f>
        <x:v>475</x:v>
      </x:c>
      <x:c r="D25" s="7" t="n">
        <x:f>ROUND($B$8*$B$9^(A25-1),0)</x:f>
        <x:v>21</x:v>
      </x:c>
      <x:c r="E25" s="7" t="n">
        <x:f>ROUND($B$10*$B$11^(A25-1),0)</x:f>
        <x:v>21</x:v>
      </x:c>
      <x:c r="F25" s="7" t="n">
        <x:f>ROUND($B$12*$B$13^(A25-1)*$B$14^INT(A25/5),0)</x:f>
        <x:v>12</x:v>
      </x:c>
      <x:c r="G25" s="1"/>
      <x:c r="H25" s="1"/>
    </x:row>
    <x:row r="26" ht="21" customHeight="1">
      <x:c r="A26" s="1" t="n">
        <x:v>3</x:v>
      </x:c>
      <x:c r="B26" s="7" t="n">
        <x:f>ROUND($B$6*$B$7^(A26-1),0)</x:f>
        <x:v>114</x:v>
      </x:c>
      <x:c r="C26" s="7" t="n">
        <x:f>ROUND(B26*$B$15,0)</x:f>
        <x:v>547</x:v>
      </x:c>
      <x:c r="D26" s="7" t="n">
        <x:f>ROUND($B$8*$B$9^(A26-1),0)</x:f>
        <x:v>24</x:v>
      </x:c>
      <x:c r="E26" s="7" t="n">
        <x:f>ROUND($B$10*$B$11^(A26-1),0)</x:f>
        <x:v>25</x:v>
      </x:c>
      <x:c r="F26" s="7" t="n">
        <x:f>ROUND($B$12*$B$13^(A26-1)*$B$14^INT(A26/5),0)</x:f>
        <x:v>13</x:v>
      </x:c>
      <x:c r="G26" s="1"/>
      <x:c r="H26" s="1"/>
    </x:row>
    <x:row r="27" ht="21" customHeight="1">
      <x:c r="A27" s="1" t="n">
        <x:v>4</x:v>
      </x:c>
      <x:c r="B27" s="7" t="n">
        <x:f>ROUND($B$6*$B$7^(A27-1),0)</x:f>
        <x:v>133</x:v>
      </x:c>
      <x:c r="C27" s="7" t="n">
        <x:f>ROUND(B27*$B$15,0)</x:f>
        <x:v>638</x:v>
      </x:c>
      <x:c r="D27" s="7" t="n">
        <x:f>ROUND($B$8*$B$9^(A27-1),0)</x:f>
        <x:v>28</x:v>
      </x:c>
      <x:c r="E27" s="7" t="n">
        <x:f>ROUND($B$10*$B$11^(A27-1),0)</x:f>
        <x:v>30</x:v>
      </x:c>
      <x:c r="F27" s="7" t="n">
        <x:f>ROUND($B$12*$B$13^(A27-1)*$B$14^INT(A27/5),0)</x:f>
        <x:v>15</x:v>
      </x:c>
      <x:c r="G27" s="1"/>
      <x:c r="H27" s="1"/>
    </x:row>
    <x:row r="28" ht="21" customHeight="1">
      <x:c r="A28" s="1" t="n">
        <x:v>5</x:v>
      </x:c>
      <x:c r="B28" s="7" t="n">
        <x:f>ROUND($B$6*$B$7^(A28-1),0)</x:f>
        <x:v>154</x:v>
      </x:c>
      <x:c r="C28" s="7" t="n">
        <x:f>ROUND(B28*$B$15,0)</x:f>
        <x:v>739</x:v>
      </x:c>
      <x:c r="D28" s="7" t="n">
        <x:f>ROUND($B$8*$B$9^(A28-1),0)</x:f>
        <x:v>33</x:v>
      </x:c>
      <x:c r="E28" s="7" t="n">
        <x:f>ROUND($B$10*$B$11^(A28-1),0)</x:f>
        <x:v>35</x:v>
      </x:c>
      <x:c r="F28" s="7" t="n">
        <x:f>ROUND($B$12*$B$13^(A28-1)*$B$14^INT(A28/5),0)</x:f>
        <x:v>19</x:v>
      </x:c>
      <x:c r="G28" s="1"/>
      <x:c r="H28" s="1"/>
    </x:row>
    <x:row r="29" ht="21" customHeight="1">
      <x:c r="A29" s="1" t="n">
        <x:v>6</x:v>
      </x:c>
      <x:c r="B29" s="7" t="n">
        <x:f>ROUND($B$6*$B$7^(A29-1),0)</x:f>
        <x:v>179</x:v>
      </x:c>
      <x:c r="C29" s="7" t="n">
        <x:f>ROUND(B29*$B$15,0)</x:f>
        <x:v>859</x:v>
      </x:c>
      <x:c r="D29" s="7" t="n">
        <x:f>ROUND($B$8*$B$9^(A29-1),0)</x:f>
        <x:v>38</x:v>
      </x:c>
      <x:c r="E29" s="7" t="n">
        <x:f>ROUND($B$10*$B$11^(A29-1),0)</x:f>
        <x:v>41</x:v>
      </x:c>
      <x:c r="F29" s="7" t="n">
        <x:f>ROUND($B$12*$B$13^(A29-1)*$B$14^INT(A29/5),0)</x:f>
        <x:v>22</x:v>
      </x:c>
      <x:c r="G29" s="1"/>
      <x:c r="H29" s="1"/>
    </x:row>
    <x:row r="30" ht="21" customHeight="1">
      <x:c r="A30" s="1" t="n">
        <x:v>7</x:v>
      </x:c>
      <x:c r="B30" s="7" t="n">
        <x:f>ROUND($B$6*$B$7^(A30-1),0)</x:f>
        <x:v>207</x:v>
      </x:c>
      <x:c r="C30" s="7" t="n">
        <x:f>ROUND(B30*$B$15,0)</x:f>
        <x:v>994</x:v>
      </x:c>
      <x:c r="D30" s="7" t="n">
        <x:f>ROUND($B$8*$B$9^(A30-1),0)</x:f>
        <x:v>44</x:v>
      </x:c>
      <x:c r="E30" s="7" t="n">
        <x:f>ROUND($B$10*$B$11^(A30-1),0)</x:f>
        <x:v>49</x:v>
      </x:c>
      <x:c r="F30" s="7" t="n">
        <x:f>ROUND($B$12*$B$13^(A30-1)*$B$14^INT(A30/5),0)</x:f>
        <x:v>25</x:v>
      </x:c>
      <x:c r="G30" s="1"/>
      <x:c r="H30" s="1"/>
    </x:row>
    <x:row r="31" ht="21" customHeight="1">
      <x:c r="A31" s="1" t="n">
        <x:v>8</x:v>
      </x:c>
      <x:c r="B31" s="7" t="n">
        <x:f>ROUND($B$6*$B$7^(A31-1),0)</x:f>
        <x:v>240</x:v>
      </x:c>
      <x:c r="C31" s="7" t="n">
        <x:f>ROUND(B31*$B$15,0)</x:f>
        <x:v>1152</x:v>
      </x:c>
      <x:c r="D31" s="7" t="n">
        <x:f>ROUND($B$8*$B$9^(A31-1),0)</x:f>
        <x:v>51</x:v>
      </x:c>
      <x:c r="E31" s="7" t="n">
        <x:f>ROUND($B$10*$B$11^(A31-1),0)</x:f>
        <x:v>57</x:v>
      </x:c>
      <x:c r="F31" s="7" t="n">
        <x:f>ROUND($B$12*$B$13^(A31-1)*$B$14^INT(A31/5),0)</x:f>
        <x:v>29</x:v>
      </x:c>
      <x:c r="G31" s="1"/>
      <x:c r="H31" s="1"/>
    </x:row>
    <x:row r="32" ht="21" customHeight="1">
      <x:c r="A32" s="1" t="n">
        <x:v>9</x:v>
      </x:c>
      <x:c r="B32" s="7" t="n">
        <x:f>ROUND($B$6*$B$7^(A32-1),0)</x:f>
        <x:v>279</x:v>
      </x:c>
      <x:c r="C32" s="7" t="n">
        <x:f>ROUND(B32*$B$15,0)</x:f>
        <x:v>1339</x:v>
      </x:c>
      <x:c r="D32" s="7" t="n">
        <x:f>ROUND($B$8*$B$9^(A32-1),0)</x:f>
        <x:v>59</x:v>
      </x:c>
      <x:c r="E32" s="7" t="n">
        <x:f>ROUND($B$10*$B$11^(A32-1),0)</x:f>
        <x:v>68</x:v>
      </x:c>
      <x:c r="F32" s="7" t="n">
        <x:f>ROUND($B$12*$B$13^(A32-1)*$B$14^INT(A32/5),0)</x:f>
        <x:v>34</x:v>
      </x:c>
      <x:c r="G32" s="1"/>
      <x:c r="H32" s="1"/>
    </x:row>
    <x:row r="33" ht="21" customHeight="1">
      <x:c r="A33" s="1" t="n">
        <x:v>10</x:v>
      </x:c>
      <x:c r="B33" s="7" t="n">
        <x:f>ROUND($B$6*$B$7^(A33-1),0)</x:f>
        <x:v>323</x:v>
      </x:c>
      <x:c r="C33" s="7" t="n">
        <x:f>ROUND(B33*$B$15,0)</x:f>
        <x:v>1550</x:v>
      </x:c>
      <x:c r="D33" s="7" t="n">
        <x:f>ROUND($B$8*$B$9^(A33-1),0)</x:f>
        <x:v>68</x:v>
      </x:c>
      <x:c r="E33" s="7" t="n">
        <x:f>ROUND($B$10*$B$11^(A33-1),0)</x:f>
        <x:v>80</x:v>
      </x:c>
      <x:c r="F33" s="7" t="n">
        <x:f>ROUND($B$12*$B$13^(A33-1)*$B$14^INT(A33/5),0)</x:f>
        <x:v>43</x:v>
      </x:c>
      <x:c r="G33" s="1"/>
      <x:c r="H33" s="1"/>
    </x:row>
    <x:row r="34" ht="21" customHeight="1">
      <x:c r="A34" s="1" t="n">
        <x:v>11</x:v>
      </x:c>
      <x:c r="B34" s="7" t="n">
        <x:f>ROUND($B$6*$B$7^(A34-1),0)</x:f>
        <x:v>375</x:v>
      </x:c>
      <x:c r="C34" s="7" t="n">
        <x:f>ROUND(B34*$B$15,0)</x:f>
        <x:v>1800</x:v>
      </x:c>
      <x:c r="D34" s="7" t="n">
        <x:f>ROUND($B$8*$B$9^(A34-1),0)</x:f>
        <x:v>79</x:v>
      </x:c>
      <x:c r="E34" s="7" t="n">
        <x:f>ROUND($B$10*$B$11^(A34-1),0)</x:f>
        <x:v>94</x:v>
      </x:c>
      <x:c r="F34" s="7" t="n">
        <x:f>ROUND($B$12*$B$13^(A34-1)*$B$14^INT(A34/5),0)</x:f>
        <x:v>49</x:v>
      </x:c>
      <x:c r="G34" s="1"/>
      <x:c r="H34" s="1"/>
    </x:row>
    <x:row r="35" ht="21" customHeight="1">
      <x:c r="A35" s="1" t="n">
        <x:v>12</x:v>
      </x:c>
      <x:c r="B35" s="7" t="n">
        <x:f>ROUND($B$6*$B$7^(A35-1),0)</x:f>
        <x:v>435</x:v>
      </x:c>
      <x:c r="C35" s="7" t="n">
        <x:f>ROUND(B35*$B$15,0)</x:f>
        <x:v>2088</x:v>
      </x:c>
      <x:c r="D35" s="7" t="n">
        <x:f>ROUND($B$8*$B$9^(A35-1),0)</x:f>
        <x:v>92</x:v>
      </x:c>
      <x:c r="E35" s="7" t="n">
        <x:f>ROUND($B$10*$B$11^(A35-1),0)</x:f>
        <x:v>111</x:v>
      </x:c>
      <x:c r="F35" s="7" t="n">
        <x:f>ROUND($B$12*$B$13^(A35-1)*$B$14^INT(A35/5),0)</x:f>
        <x:v>56</x:v>
      </x:c>
      <x:c r="G35" s="1"/>
      <x:c r="H35" s="1"/>
    </x:row>
    <x:row r="36" ht="21" customHeight="1">
      <x:c r="A36" s="1" t="n">
        <x:v>13</x:v>
      </x:c>
      <x:c r="B36" s="7" t="n">
        <x:f>ROUND($B$6*$B$7^(A36-1),0)</x:f>
        <x:v>505</x:v>
      </x:c>
      <x:c r="C36" s="7" t="n">
        <x:f>ROUND(B36*$B$15,0)</x:f>
        <x:v>2424</x:v>
      </x:c>
      <x:c r="D36" s="7" t="n">
        <x:f>ROUND($B$8*$B$9^(A36-1),0)</x:f>
        <x:v>107</x:v>
      </x:c>
      <x:c r="E36" s="7" t="n">
        <x:f>ROUND($B$10*$B$11^(A36-1),0)</x:f>
        <x:v>131</x:v>
      </x:c>
      <x:c r="F36" s="7" t="n">
        <x:f>ROUND($B$12*$B$13^(A36-1)*$B$14^INT(A36/5),0)</x:f>
        <x:v>65</x:v>
      </x:c>
      <x:c r="G36" s="1"/>
      <x:c r="H36" s="1"/>
    </x:row>
    <x:row r="37" ht="21" customHeight="1">
      <x:c r="A37" s="1" t="n">
        <x:v>14</x:v>
      </x:c>
      <x:c r="B37" s="7" t="n">
        <x:f>ROUND($B$6*$B$7^(A37-1),0)</x:f>
        <x:v>585</x:v>
      </x:c>
      <x:c r="C37" s="7" t="n">
        <x:f>ROUND(B37*$B$15,0)</x:f>
        <x:v>2808</x:v>
      </x:c>
      <x:c r="D37" s="7" t="n">
        <x:f>ROUND($B$8*$B$9^(A37-1),0)</x:f>
        <x:v>124</x:v>
      </x:c>
      <x:c r="E37" s="7" t="n">
        <x:f>ROUND($B$10*$B$11^(A37-1),0)</x:f>
        <x:v>155</x:v>
      </x:c>
      <x:c r="F37" s="7" t="n">
        <x:f>ROUND($B$12*$B$13^(A37-1)*$B$14^INT(A37/5),0)</x:f>
        <x:v>74</x:v>
      </x:c>
      <x:c r="G37" s="1"/>
      <x:c r="H37" s="1"/>
    </x:row>
    <x:row r="38" ht="21" customHeight="1">
      <x:c r="A38" s="1" t="n">
        <x:v>15</x:v>
      </x:c>
      <x:c r="B38" s="7" t="n">
        <x:f>ROUND($B$6*$B$7^(A38-1),0)</x:f>
        <x:v>679</x:v>
      </x:c>
      <x:c r="C38" s="7" t="n">
        <x:f>ROUND(B38*$B$15,0)</x:f>
        <x:v>3259</x:v>
      </x:c>
      <x:c r="D38" s="7" t="n">
        <x:f>ROUND($B$8*$B$9^(A38-1),0)</x:f>
        <x:v>144</x:v>
      </x:c>
      <x:c r="E38" s="7" t="n">
        <x:f>ROUND($B$10*$B$11^(A38-1),0)</x:f>
        <x:v>183</x:v>
      </x:c>
      <x:c r="F38" s="7" t="n">
        <x:f>ROUND($B$12*$B$13^(A38-1)*$B$14^INT(A38/5),0)</x:f>
        <x:v>94</x:v>
      </x:c>
      <x:c r="G38" s="1"/>
      <x:c r="H38" s="1"/>
    </x:row>
    <x:row r="39" ht="21" customHeight="1">
      <x:c r="A39" s="1" t="n">
        <x:v>16</x:v>
      </x:c>
      <x:c r="B39" s="7" t="n">
        <x:f>ROUND($B$6*$B$7^(A39-1),0)</x:f>
        <x:v>788</x:v>
      </x:c>
      <x:c r="C39" s="7" t="n">
        <x:f>ROUND(B39*$B$15,0)</x:f>
        <x:v>3782</x:v>
      </x:c>
      <x:c r="D39" s="7" t="n">
        <x:f>ROUND($B$8*$B$9^(A39-1),0)</x:f>
        <x:v>167</x:v>
      </x:c>
      <x:c r="E39" s="7" t="n">
        <x:f>ROUND($B$10*$B$11^(A39-1),0)</x:f>
        <x:v>216</x:v>
      </x:c>
      <x:c r="F39" s="7" t="n">
        <x:f>ROUND($B$12*$B$13^(A39-1)*$B$14^INT(A39/5),0)</x:f>
        <x:v>108</x:v>
      </x:c>
      <x:c r="G39" s="1"/>
      <x:c r="H39" s="1"/>
    </x:row>
    <x:row r="40" ht="21" customHeight="1">
      <x:c r="A40" s="1" t="n">
        <x:v>17</x:v>
      </x:c>
      <x:c r="B40" s="7" t="n">
        <x:f>ROUND($B$6*$B$7^(A40-1),0)</x:f>
        <x:v>914</x:v>
      </x:c>
      <x:c r="C40" s="7" t="n">
        <x:f>ROUND(B40*$B$15,0)</x:f>
        <x:v>4387</x:v>
      </x:c>
      <x:c r="D40" s="7" t="n">
        <x:f>ROUND($B$8*$B$9^(A40-1),0)</x:f>
        <x:v>193</x:v>
      </x:c>
      <x:c r="E40" s="7" t="n">
        <x:f>ROUND($B$10*$B$11^(A40-1),0)</x:f>
        <x:v>254</x:v>
      </x:c>
      <x:c r="F40" s="7" t="n">
        <x:f>ROUND($B$12*$B$13^(A40-1)*$B$14^INT(A40/5),0)</x:f>
        <x:v>125</x:v>
      </x:c>
      <x:c r="G40" s="1"/>
      <x:c r="H40" s="1"/>
    </x:row>
    <x:row r="41" ht="21" customHeight="1">
      <x:c r="A41" s="1" t="n">
        <x:v>18</x:v>
      </x:c>
      <x:c r="B41" s="7" t="n">
        <x:f>ROUND($B$6*$B$7^(A41-1),0)</x:f>
        <x:v>1060</x:v>
      </x:c>
      <x:c r="C41" s="7" t="n">
        <x:f>ROUND(B41*$B$15,0)</x:f>
        <x:v>5088</x:v>
      </x:c>
      <x:c r="D41" s="7" t="n">
        <x:f>ROUND($B$8*$B$9^(A41-1),0)</x:f>
        <x:v>224</x:v>
      </x:c>
      <x:c r="E41" s="7" t="n">
        <x:f>ROUND($B$10*$B$11^(A41-1),0)</x:f>
        <x:v>300</x:v>
      </x:c>
      <x:c r="F41" s="7" t="n">
        <x:f>ROUND($B$12*$B$13^(A41-1)*$B$14^INT(A41/5),0)</x:f>
        <x:v>143</x:v>
      </x:c>
      <x:c r="G41" s="1"/>
      <x:c r="H41" s="1"/>
    </x:row>
    <x:row r="42" ht="21" customHeight="1">
      <x:c r="A42" s="1" t="n">
        <x:v>19</x:v>
      </x:c>
      <x:c r="B42" s="7" t="n">
        <x:f>ROUND($B$6*$B$7^(A42-1),0)</x:f>
        <x:v>1229</x:v>
      </x:c>
      <x:c r="C42" s="7" t="n">
        <x:f>ROUND(B42*$B$15,0)</x:f>
        <x:v>5899</x:v>
      </x:c>
      <x:c r="D42" s="7" t="n">
        <x:f>ROUND($B$8*$B$9^(A42-1),0)</x:f>
        <x:v>260</x:v>
      </x:c>
      <x:c r="E42" s="7" t="n">
        <x:f>ROUND($B$10*$B$11^(A42-1),0)</x:f>
        <x:v>354</x:v>
      </x:c>
      <x:c r="F42" s="7" t="n">
        <x:f>ROUND($B$12*$B$13^(A42-1)*$B$14^INT(A42/5),0)</x:f>
        <x:v>165</x:v>
      </x:c>
      <x:c r="G42" s="1"/>
      <x:c r="H42" s="1"/>
    </x:row>
    <x:row r="43" ht="21" customHeight="1">
      <x:c r="A43" s="1" t="n">
        <x:v>20</x:v>
      </x:c>
      <x:c r="B43" s="7" t="n">
        <x:f>ROUND($B$6*$B$7^(A43-1),0)</x:f>
        <x:v>1426</x:v>
      </x:c>
      <x:c r="C43" s="7" t="n">
        <x:f>ROUND(B43*$B$15,0)</x:f>
        <x:v>6845</x:v>
      </x:c>
      <x:c r="D43" s="7" t="n">
        <x:f>ROUND($B$8*$B$9^(A43-1),0)</x:f>
        <x:v>302</x:v>
      </x:c>
      <x:c r="E43" s="7" t="n">
        <x:f>ROUND($B$10*$B$11^(A43-1),0)</x:f>
        <x:v>418</x:v>
      </x:c>
      <x:c r="F43" s="7" t="n">
        <x:f>ROUND($B$12*$B$13^(A43-1)*$B$14^INT(A43/5),0)</x:f>
        <x:v>208</x:v>
      </x:c>
      <x:c r="G43" s="1"/>
      <x:c r="H43" s="1"/>
    </x:row>
    <x:row r="44" ht="21" customHeight="1">
      <x:c r="A44" s="1" t="n">
        <x:v>21</x:v>
      </x:c>
      <x:c r="B44" s="7" t="n">
        <x:f>ROUND($B$6*$B$7^(A44-1),0)</x:f>
        <x:v>1654</x:v>
      </x:c>
      <x:c r="C44" s="7" t="n">
        <x:f>ROUND(B44*$B$15,0)</x:f>
        <x:v>7939</x:v>
      </x:c>
      <x:c r="D44" s="7" t="n">
        <x:f>ROUND($B$8*$B$9^(A44-1),0)</x:f>
        <x:v>350</x:v>
      </x:c>
      <x:c r="E44" s="7" t="n">
        <x:f>ROUND($B$10*$B$11^(A44-1),0)</x:f>
        <x:v>493</x:v>
      </x:c>
      <x:c r="F44" s="7" t="n">
        <x:f>ROUND($B$12*$B$13^(A44-1)*$B$14^INT(A44/5),0)</x:f>
        <x:v>240</x:v>
      </x:c>
      <x:c r="G44" s="1"/>
      <x:c r="H44" s="1"/>
    </x:row>
    <x:row r="45" ht="21" customHeight="1">
      <x:c r="A45" s="1" t="n">
        <x:v>22</x:v>
      </x:c>
      <x:c r="B45" s="7" t="n">
        <x:f>ROUND($B$6*$B$7^(A45-1),0)</x:f>
        <x:v>1919</x:v>
      </x:c>
      <x:c r="C45" s="7" t="n">
        <x:f>ROUND(B45*$B$15,0)</x:f>
        <x:v>9211</x:v>
      </x:c>
      <x:c r="D45" s="7" t="n">
        <x:f>ROUND($B$8*$B$9^(A45-1),0)</x:f>
        <x:v>406</x:v>
      </x:c>
      <x:c r="E45" s="7" t="n">
        <x:f>ROUND($B$10*$B$11^(A45-1),0)</x:f>
        <x:v>582</x:v>
      </x:c>
      <x:c r="F45" s="7" t="n">
        <x:f>ROUND($B$12*$B$13^(A45-1)*$B$14^INT(A45/5),0)</x:f>
        <x:v>276</x:v>
      </x:c>
      <x:c r="G45" s="1"/>
      <x:c r="H45" s="1"/>
    </x:row>
    <x:row r="46" ht="21" customHeight="1">
      <x:c r="A46" s="1" t="n">
        <x:v>23</x:v>
      </x:c>
      <x:c r="B46" s="7" t="n">
        <x:f>ROUND($B$6*$B$7^(A46-1),0)</x:f>
        <x:v>2226</x:v>
      </x:c>
      <x:c r="C46" s="7" t="n">
        <x:f>ROUND(B46*$B$15,0)</x:f>
        <x:v>10685</x:v>
      </x:c>
      <x:c r="D46" s="7" t="n">
        <x:f>ROUND($B$8*$B$9^(A46-1),0)</x:f>
        <x:v>471</x:v>
      </x:c>
      <x:c r="E46" s="7" t="n">
        <x:f>ROUND($B$10*$B$11^(A46-1),0)</x:f>
        <x:v>687</x:v>
      </x:c>
      <x:c r="F46" s="7" t="n">
        <x:f>ROUND($B$12*$B$13^(A46-1)*$B$14^INT(A46/5),0)</x:f>
        <x:v>317</x:v>
      </x:c>
      <x:c r="G46" s="1"/>
      <x:c r="H46" s="1"/>
    </x:row>
    <x:row r="47" ht="21" customHeight="1">
      <x:c r="A47" s="1" t="n">
        <x:v>24</x:v>
      </x:c>
      <x:c r="B47" s="7" t="n">
        <x:f>ROUND($B$6*$B$7^(A47-1),0)</x:f>
        <x:v>2582</x:v>
      </x:c>
      <x:c r="C47" s="7" t="n">
        <x:f>ROUND(B47*$B$15,0)</x:f>
        <x:v>12394</x:v>
      </x:c>
      <x:c r="D47" s="7" t="n">
        <x:f>ROUND($B$8*$B$9^(A47-1),0)</x:f>
        <x:v>547</x:v>
      </x:c>
      <x:c r="E47" s="7" t="n">
        <x:f>ROUND($B$10*$B$11^(A47-1),0)</x:f>
        <x:v>810</x:v>
      </x:c>
      <x:c r="F47" s="7" t="n">
        <x:f>ROUND($B$12*$B$13^(A47-1)*$B$14^INT(A47/5),0)</x:f>
        <x:v>364</x:v>
      </x:c>
      <x:c r="G47" s="1"/>
      <x:c r="H47" s="1"/>
    </x:row>
    <x:row r="48" ht="21" customHeight="1">
      <x:c r="A48" s="1" t="n">
        <x:v>25</x:v>
      </x:c>
      <x:c r="B48" s="7" t="n">
        <x:f>ROUND($B$6*$B$7^(A48-1),0)</x:f>
        <x:v>2995</x:v>
      </x:c>
      <x:c r="C48" s="7" t="n">
        <x:f>ROUND(B48*$B$15,0)</x:f>
        <x:v>14376</x:v>
      </x:c>
      <x:c r="D48" s="7" t="n">
        <x:f>ROUND($B$8*$B$9^(A48-1),0)</x:f>
        <x:v>634</x:v>
      </x:c>
      <x:c r="E48" s="7" t="n">
        <x:f>ROUND($B$10*$B$11^(A48-1),0)</x:f>
        <x:v>956</x:v>
      </x:c>
      <x:c r="F48" s="7" t="n">
        <x:f>ROUND($B$12*$B$13^(A48-1)*$B$14^INT(A48/5),0)</x:f>
        <x:v>461</x:v>
      </x:c>
      <x:c r="G48" s="1"/>
      <x:c r="H48" s="1"/>
    </x:row>
    <x:row r="49" ht="21" customHeight="1">
      <x:c r="A49" s="1" t="n">
        <x:v>26</x:v>
      </x:c>
      <x:c r="B49" s="7" t="n">
        <x:f>ROUND($B$6*$B$7^(A49-1),0)</x:f>
        <x:v>3474</x:v>
      </x:c>
      <x:c r="C49" s="7" t="n">
        <x:f>ROUND(B49*$B$15,0)</x:f>
        <x:v>16675</x:v>
      </x:c>
      <x:c r="D49" s="7" t="n">
        <x:f>ROUND($B$8*$B$9^(A49-1),0)</x:f>
        <x:v>736</x:v>
      </x:c>
      <x:c r="E49" s="7" t="n">
        <x:f>ROUND($B$10*$B$11^(A49-1),0)</x:f>
        <x:v>1128</x:v>
      </x:c>
      <x:c r="F49" s="7" t="n">
        <x:f>ROUND($B$12*$B$13^(A49-1)*$B$14^INT(A49/5),0)</x:f>
        <x:v>530</x:v>
      </x:c>
      <x:c r="G49" s="1"/>
      <x:c r="H49" s="1"/>
    </x:row>
    <x:row r="50" ht="21" customHeight="1">
      <x:c r="A50" s="1" t="n">
        <x:v>27</x:v>
      </x:c>
      <x:c r="B50" s="7" t="n">
        <x:f>ROUND($B$6*$B$7^(A50-1),0)</x:f>
        <x:v>4030</x:v>
      </x:c>
      <x:c r="C50" s="7" t="n">
        <x:f>ROUND(B50*$B$15,0)</x:f>
        <x:v>19344</x:v>
      </x:c>
      <x:c r="D50" s="7" t="n">
        <x:f>ROUND($B$8*$B$9^(A50-1),0)</x:f>
        <x:v>853</x:v>
      </x:c>
      <x:c r="E50" s="7" t="n">
        <x:f>ROUND($B$10*$B$11^(A50-1),0)</x:f>
        <x:v>1331</x:v>
      </x:c>
      <x:c r="F50" s="7" t="n">
        <x:f>ROUND($B$12*$B$13^(A50-1)*$B$14^INT(A50/5),0)</x:f>
        <x:v>610</x:v>
      </x:c>
      <x:c r="G50" s="1"/>
      <x:c r="H50" s="1"/>
    </x:row>
    <x:row r="51" ht="21" customHeight="1">
      <x:c r="A51" s="1" t="n">
        <x:v>28</x:v>
      </x:c>
      <x:c r="B51" s="7" t="n">
        <x:f>ROUND($B$6*$B$7^(A51-1),0)</x:f>
        <x:v>4675</x:v>
      </x:c>
      <x:c r="C51" s="7" t="n">
        <x:f>ROUND(B51*$B$15,0)</x:f>
        <x:v>22440</x:v>
      </x:c>
      <x:c r="D51" s="7" t="n">
        <x:f>ROUND($B$8*$B$9^(A51-1),0)</x:f>
        <x:v>990</x:v>
      </x:c>
      <x:c r="E51" s="7" t="n">
        <x:f>ROUND($B$10*$B$11^(A51-1),0)</x:f>
        <x:v>1571</x:v>
      </x:c>
      <x:c r="F51" s="7" t="n">
        <x:f>ROUND($B$12*$B$13^(A51-1)*$B$14^INT(A51/5),0)</x:f>
        <x:v>701</x:v>
      </x:c>
      <x:c r="G51" s="1"/>
      <x:c r="H51" s="1"/>
    </x:row>
    <x:row r="52" ht="21" customHeight="1">
      <x:c r="A52" s="1" t="n">
        <x:v>29</x:v>
      </x:c>
      <x:c r="B52" s="7" t="n">
        <x:f>ROUND($B$6*$B$7^(A52-1),0)</x:f>
        <x:v>5423</x:v>
      </x:c>
      <x:c r="C52" s="7" t="n">
        <x:f>ROUND(B52*$B$15,0)</x:f>
        <x:v>26030</x:v>
      </x:c>
      <x:c r="D52" s="7" t="n">
        <x:f>ROUND($B$8*$B$9^(A52-1),0)</x:f>
        <x:v>1148</x:v>
      </x:c>
      <x:c r="E52" s="7" t="n">
        <x:f>ROUND($B$10*$B$11^(A52-1),0)</x:f>
        <x:v>1853</x:v>
      </x:c>
      <x:c r="F52" s="7" t="n">
        <x:f>ROUND($B$12*$B$13^(A52-1)*$B$14^INT(A52/5),0)</x:f>
        <x:v>806</x:v>
      </x:c>
      <x:c r="G52" s="1"/>
      <x:c r="H52" s="1"/>
    </x:row>
    <x:row r="53" ht="21" customHeight="1">
      <x:c r="A53" s="1" t="n">
        <x:v>30</x:v>
      </x:c>
      <x:c r="B53" s="7" t="n">
        <x:f>ROUND($B$6*$B$7^(A53-1),0)</x:f>
        <x:v>6291</x:v>
      </x:c>
      <x:c r="C53" s="7" t="n">
        <x:f>ROUND(B53*$B$15,0)</x:f>
        <x:v>30197</x:v>
      </x:c>
      <x:c r="D53" s="7" t="n">
        <x:f>ROUND($B$8*$B$9^(A53-1),0)</x:f>
        <x:v>1332</x:v>
      </x:c>
      <x:c r="E53" s="7" t="n">
        <x:f>ROUND($B$10*$B$11^(A53-1),0)</x:f>
        <x:v>2187</x:v>
      </x:c>
      <x:c r="F53" s="7" t="n">
        <x:f>ROUND($B$12*$B$13^(A53-1)*$B$14^INT(A53/5),0)</x:f>
        <x:v>1020</x:v>
      </x:c>
      <x:c r="G53" s="1"/>
      <x:c r="H53" s="1"/>
    </x:row>
    <x:row r="54" ht="21" customHeight="1">
      <x:c r="A54" s="1" t="n">
        <x:v>31</x:v>
      </x:c>
      <x:c r="B54" s="7" t="n">
        <x:f>ROUND($B$6*$B$7^(A54-1),0)</x:f>
        <x:v>7297</x:v>
      </x:c>
      <x:c r="C54" s="7" t="n">
        <x:f>ROUND(B54*$B$15,0)</x:f>
        <x:v>35026</x:v>
      </x:c>
      <x:c r="D54" s="7" t="n">
        <x:f>ROUND($B$8*$B$9^(A54-1),0)</x:f>
        <x:v>1545</x:v>
      </x:c>
      <x:c r="E54" s="7" t="n">
        <x:f>ROUND($B$10*$B$11^(A54-1),0)</x:f>
        <x:v>2581</x:v>
      </x:c>
      <x:c r="F54" s="7" t="n">
        <x:f>ROUND($B$12*$B$13^(A54-1)*$B$14^INT(A54/5),0)</x:f>
        <x:v>1173</x:v>
      </x:c>
      <x:c r="G54" s="1"/>
      <x:c r="H54" s="1"/>
    </x:row>
    <x:row r="55" ht="21" customHeight="1">
      <x:c r="A55" s="1" t="n">
        <x:v>32</x:v>
      </x:c>
      <x:c r="B55" s="7" t="n">
        <x:f>ROUND($B$6*$B$7^(A55-1),0)</x:f>
        <x:v>8465</x:v>
      </x:c>
      <x:c r="C55" s="7" t="n">
        <x:f>ROUND(B55*$B$15,0)</x:f>
        <x:v>40632</x:v>
      </x:c>
      <x:c r="D55" s="7" t="n">
        <x:f>ROUND($B$8*$B$9^(A55-1),0)</x:f>
        <x:v>1793</x:v>
      </x:c>
      <x:c r="E55" s="7" t="n">
        <x:f>ROUND($B$10*$B$11^(A55-1),0)</x:f>
        <x:v>3045</x:v>
      </x:c>
      <x:c r="F55" s="7" t="n">
        <x:f>ROUND($B$12*$B$13^(A55-1)*$B$14^INT(A55/5),0)</x:f>
        <x:v>1349</x:v>
      </x:c>
      <x:c r="G55" s="1"/>
      <x:c r="H55" s="1"/>
    </x:row>
    <x:row r="56" ht="21" customHeight="1">
      <x:c r="A56" s="1" t="n">
        <x:v>33</x:v>
      </x:c>
      <x:c r="B56" s="7" t="n">
        <x:f>ROUND($B$6*$B$7^(A56-1),0)</x:f>
        <x:v>9819</x:v>
      </x:c>
      <x:c r="C56" s="7" t="n">
        <x:f>ROUND(B56*$B$15,0)</x:f>
        <x:v>47131</x:v>
      </x:c>
      <x:c r="D56" s="7" t="n">
        <x:f>ROUND($B$8*$B$9^(A56-1),0)</x:f>
        <x:v>2079</x:v>
      </x:c>
      <x:c r="E56" s="7" t="n">
        <x:f>ROUND($B$10*$B$11^(A56-1),0)</x:f>
        <x:v>3593</x:v>
      </x:c>
      <x:c r="F56" s="7" t="n">
        <x:f>ROUND($B$12*$B$13^(A56-1)*$B$14^INT(A56/5),0)</x:f>
        <x:v>1551</x:v>
      </x:c>
      <x:c r="G56" s="1"/>
      <x:c r="H56" s="1"/>
    </x:row>
    <x:row r="57" ht="21" customHeight="1">
      <x:c r="A57" s="1" t="n">
        <x:v>34</x:v>
      </x:c>
      <x:c r="B57" s="7" t="n">
        <x:f>ROUND($B$6*$B$7^(A57-1),0)</x:f>
        <x:v>11390</x:v>
      </x:c>
      <x:c r="C57" s="7" t="n">
        <x:f>ROUND(B57*$B$15,0)</x:f>
        <x:v>54672</x:v>
      </x:c>
      <x:c r="D57" s="7" t="n">
        <x:f>ROUND($B$8*$B$9^(A57-1),0)</x:f>
        <x:v>2412</x:v>
      </x:c>
      <x:c r="E57" s="7" t="n">
        <x:f>ROUND($B$10*$B$11^(A57-1),0)</x:f>
        <x:v>4240</x:v>
      </x:c>
      <x:c r="F57" s="7" t="n">
        <x:f>ROUND($B$12*$B$13^(A57-1)*$B$14^INT(A57/5),0)</x:f>
        <x:v>1784</x:v>
      </x:c>
      <x:c r="G57" s="1"/>
      <x:c r="H57" s="1"/>
    </x:row>
    <x:row r="58" ht="21" customHeight="1">
      <x:c r="A58" s="1" t="n">
        <x:v>35</x:v>
      </x:c>
      <x:c r="B58" s="7" t="n">
        <x:f>ROUND($B$6*$B$7^(A58-1),0)</x:f>
        <x:v>13213</x:v>
      </x:c>
      <x:c r="C58" s="7" t="n">
        <x:f>ROUND(B58*$B$15,0)</x:f>
        <x:v>63422</x:v>
      </x:c>
      <x:c r="D58" s="7" t="n">
        <x:f>ROUND($B$8*$B$9^(A58-1),0)</x:f>
        <x:v>2798</x:v>
      </x:c>
      <x:c r="E58" s="7" t="n">
        <x:f>ROUND($B$10*$B$11^(A58-1),0)</x:f>
        <x:v>5003</x:v>
      </x:c>
      <x:c r="F58" s="7" t="n">
        <x:f>ROUND($B$12*$B$13^(A58-1)*$B$14^INT(A58/5),0)</x:f>
        <x:v>2257</x:v>
      </x:c>
      <x:c r="G58" s="1"/>
      <x:c r="H58" s="1"/>
    </x:row>
    <x:row r="59" ht="21" customHeight="1">
      <x:c r="A59" s="1" t="n">
        <x:v>36</x:v>
      </x:c>
      <x:c r="B59" s="7" t="n">
        <x:f>ROUND($B$6*$B$7^(A59-1),0)</x:f>
        <x:v>15327</x:v>
      </x:c>
      <x:c r="C59" s="7" t="n">
        <x:f>ROUND(B59*$B$15,0)</x:f>
        <x:v>73570</x:v>
      </x:c>
      <x:c r="D59" s="7" t="n">
        <x:f>ROUND($B$8*$B$9^(A59-1),0)</x:f>
        <x:v>3246</x:v>
      </x:c>
      <x:c r="E59" s="7" t="n">
        <x:f>ROUND($B$10*$B$11^(A59-1),0)</x:f>
        <x:v>5904</x:v>
      </x:c>
      <x:c r="F59" s="7" t="n">
        <x:f>ROUND($B$12*$B$13^(A59-1)*$B$14^INT(A59/5),0)</x:f>
        <x:v>2595</x:v>
      </x:c>
      <x:c r="G59" s="1"/>
      <x:c r="H59" s="1"/>
    </x:row>
    <x:row r="60" ht="21" customHeight="1">
      <x:c r="A60" s="1" t="n">
        <x:v>37</x:v>
      </x:c>
      <x:c r="B60" s="7" t="n">
        <x:f>ROUND($B$6*$B$7^(A60-1),0)</x:f>
        <x:v>17779</x:v>
      </x:c>
      <x:c r="C60" s="7" t="n">
        <x:f>ROUND(B60*$B$15,0)</x:f>
        <x:v>85339</x:v>
      </x:c>
      <x:c r="D60" s="7" t="n">
        <x:f>ROUND($B$8*$B$9^(A60-1),0)</x:f>
        <x:v>3765</x:v>
      </x:c>
      <x:c r="E60" s="7" t="n">
        <x:f>ROUND($B$10*$B$11^(A60-1),0)</x:f>
        <x:v>6967</x:v>
      </x:c>
      <x:c r="F60" s="7" t="n">
        <x:f>ROUND($B$12*$B$13^(A60-1)*$B$14^INT(A60/5),0)</x:f>
        <x:v>2984</x:v>
      </x:c>
      <x:c r="G60" s="1"/>
      <x:c r="H60" s="1"/>
    </x:row>
    <x:row r="61" ht="21" customHeight="1">
      <x:c r="A61" s="1" t="n">
        <x:v>38</x:v>
      </x:c>
      <x:c r="B61" s="7" t="n">
        <x:f>ROUND($B$6*$B$7^(A61-1),0)</x:f>
        <x:v>20624</x:v>
      </x:c>
      <x:c r="C61" s="7" t="n">
        <x:f>ROUND(B61*$B$15,0)</x:f>
        <x:v>98995</x:v>
      </x:c>
      <x:c r="D61" s="7" t="n">
        <x:f>ROUND($B$8*$B$9^(A61-1),0)</x:f>
        <x:v>4367</x:v>
      </x:c>
      <x:c r="E61" s="7" t="n">
        <x:f>ROUND($B$10*$B$11^(A61-1),0)</x:f>
        <x:v>8221</x:v>
      </x:c>
      <x:c r="F61" s="7" t="n">
        <x:f>ROUND($B$12*$B$13^(A61-1)*$B$14^INT(A61/5),0)</x:f>
        <x:v>3432</x:v>
      </x:c>
      <x:c r="G61" s="1"/>
      <x:c r="H61" s="1"/>
    </x:row>
    <x:row r="62" ht="21" customHeight="1">
      <x:c r="A62" s="1" t="n">
        <x:v>39</x:v>
      </x:c>
      <x:c r="B62" s="7" t="n">
        <x:f>ROUND($B$6*$B$7^(A62-1),0)</x:f>
        <x:v>23923</x:v>
      </x:c>
      <x:c r="C62" s="7" t="n">
        <x:f>ROUND(B62*$B$15,0)</x:f>
        <x:v>114830</x:v>
      </x:c>
      <x:c r="D62" s="7" t="n">
        <x:f>ROUND($B$8*$B$9^(A62-1),0)</x:f>
        <x:v>5066</x:v>
      </x:c>
      <x:c r="E62" s="7" t="n">
        <x:f>ROUND($B$10*$B$11^(A62-1),0)</x:f>
        <x:v>9700</x:v>
      </x:c>
      <x:c r="F62" s="7" t="n">
        <x:f>ROUND($B$12*$B$13^(A62-1)*$B$14^INT(A62/5),0)</x:f>
        <x:v>3947</x:v>
      </x:c>
      <x:c r="G62" s="1"/>
      <x:c r="H62" s="1"/>
    </x:row>
    <x:row r="63" ht="21" customHeight="1">
      <x:c r="A63" s="1" t="n">
        <x:v>40</x:v>
      </x:c>
      <x:c r="B63" s="7" t="n">
        <x:f>ROUND($B$6*$B$7^(A63-1),0)</x:f>
        <x:v>27751</x:v>
      </x:c>
      <x:c r="C63" s="7" t="n">
        <x:f>ROUND(B63*$B$15,0)</x:f>
        <x:v>133205</x:v>
      </x:c>
      <x:c r="D63" s="7" t="n">
        <x:f>ROUND($B$8*$B$9^(A63-1),0)</x:f>
        <x:v>5877</x:v>
      </x:c>
      <x:c r="E63" s="7" t="n">
        <x:f>ROUND($B$10*$B$11^(A63-1),0)</x:f>
        <x:v>11446</x:v>
      </x:c>
      <x:c r="F63" s="7" t="n">
        <x:f>ROUND($B$12*$B$13^(A63-1)*$B$14^INT(A63/5),0)</x:f>
        <x:v>4993</x:v>
      </x:c>
      <x:c r="G63" s="1"/>
      <x:c r="H63" s="1"/>
    </x:row>
    <x:row r="64" ht="21" customHeight="1">
      <x:c r="A64" s="1" t="n">
        <x:v>41</x:v>
      </x:c>
      <x:c r="B64" s="7" t="n">
        <x:f>ROUND($B$6*$B$7^(A64-1),0)</x:f>
        <x:v>32191</x:v>
      </x:c>
      <x:c r="C64" s="7" t="n">
        <x:f>ROUND(B64*$B$15,0)</x:f>
        <x:v>154517</x:v>
      </x:c>
      <x:c r="D64" s="7" t="n">
        <x:f>ROUND($B$8*$B$9^(A64-1),0)</x:f>
        <x:v>6817</x:v>
      </x:c>
      <x:c r="E64" s="7" t="n">
        <x:f>ROUND($B$10*$B$11^(A64-1),0)</x:f>
        <x:v>13507</x:v>
      </x:c>
      <x:c r="F64" s="7" t="n">
        <x:f>ROUND($B$12*$B$13^(A64-1)*$B$14^INT(A64/5),0)</x:f>
        <x:v>5742</x:v>
      </x:c>
      <x:c r="G64" s="1"/>
      <x:c r="H64" s="1"/>
    </x:row>
    <x:row r="65" ht="21" customHeight="1">
      <x:c r="A65" s="1" t="n">
        <x:v>42</x:v>
      </x:c>
      <x:c r="B65" s="7" t="n">
        <x:f>ROUND($B$6*$B$7^(A65-1),0)</x:f>
        <x:v>37342</x:v>
      </x:c>
      <x:c r="C65" s="7" t="n">
        <x:f>ROUND(B65*$B$15,0)</x:f>
        <x:v>179242</x:v>
      </x:c>
      <x:c r="D65" s="7" t="n">
        <x:f>ROUND($B$8*$B$9^(A65-1),0)</x:f>
        <x:v>7908</x:v>
      </x:c>
      <x:c r="E65" s="7" t="n">
        <x:f>ROUND($B$10*$B$11^(A65-1),0)</x:f>
        <x:v>15938</x:v>
      </x:c>
      <x:c r="F65" s="7" t="n">
        <x:f>ROUND($B$12*$B$13^(A65-1)*$B$14^INT(A65/5),0)</x:f>
        <x:v>6603</x:v>
      </x:c>
      <x:c r="G65" s="1"/>
      <x:c r="H65" s="1"/>
    </x:row>
    <x:row r="66" ht="21" customHeight="1">
      <x:c r="A66" s="1" t="n">
        <x:v>43</x:v>
      </x:c>
      <x:c r="B66" s="7" t="n">
        <x:f>ROUND($B$6*$B$7^(A66-1),0)</x:f>
        <x:v>43317</x:v>
      </x:c>
      <x:c r="C66" s="7" t="n">
        <x:f>ROUND(B66*$B$15,0)</x:f>
        <x:v>207922</x:v>
      </x:c>
      <x:c r="D66" s="7" t="n">
        <x:f>ROUND($B$8*$B$9^(A66-1),0)</x:f>
        <x:v>9173</x:v>
      </x:c>
      <x:c r="E66" s="7" t="n">
        <x:f>ROUND($B$10*$B$11^(A66-1),0)</x:f>
        <x:v>18807</x:v>
      </x:c>
      <x:c r="F66" s="7" t="n">
        <x:f>ROUND($B$12*$B$13^(A66-1)*$B$14^INT(A66/5),0)</x:f>
        <x:v>7594</x:v>
      </x:c>
      <x:c r="G66" s="1"/>
      <x:c r="H66" s="1"/>
    </x:row>
    <x:row r="67" ht="21" customHeight="1">
      <x:c r="A67" s="1" t="n">
        <x:v>44</x:v>
      </x:c>
      <x:c r="B67" s="7" t="n">
        <x:f>ROUND($B$6*$B$7^(A67-1),0)</x:f>
        <x:v>50247</x:v>
      </x:c>
      <x:c r="C67" s="7" t="n">
        <x:f>ROUND(B67*$B$15,0)</x:f>
        <x:v>241186</x:v>
      </x:c>
      <x:c r="D67" s="7" t="n">
        <x:f>ROUND($B$8*$B$9^(A67-1),0)</x:f>
        <x:v>10641</x:v>
      </x:c>
      <x:c r="E67" s="7" t="n">
        <x:f>ROUND($B$10*$B$11^(A67-1),0)</x:f>
        <x:v>22192</x:v>
      </x:c>
      <x:c r="F67" s="7" t="n">
        <x:f>ROUND($B$12*$B$13^(A67-1)*$B$14^INT(A67/5),0)</x:f>
        <x:v>8733</x:v>
      </x:c>
      <x:c r="G67" s="1"/>
      <x:c r="H67" s="1"/>
    </x:row>
    <x:row r="68" ht="21" customHeight="1">
      <x:c r="A68" s="1" t="n">
        <x:v>45</x:v>
      </x:c>
      <x:c r="B68" s="7" t="n">
        <x:f>ROUND($B$6*$B$7^(A68-1),0)</x:f>
        <x:v>58287</x:v>
      </x:c>
      <x:c r="C68" s="7" t="n">
        <x:f>ROUND(B68*$B$15,0)</x:f>
        <x:v>279778</x:v>
      </x:c>
      <x:c r="D68" s="7" t="n">
        <x:f>ROUND($B$8*$B$9^(A68-1),0)</x:f>
        <x:v>12343</x:v>
      </x:c>
      <x:c r="E68" s="7" t="n">
        <x:f>ROUND($B$10*$B$11^(A68-1),0)</x:f>
        <x:v>26187</x:v>
      </x:c>
      <x:c r="F68" s="7" t="n">
        <x:f>ROUND($B$12*$B$13^(A68-1)*$B$14^INT(A68/5),0)</x:f>
        <x:v>11047</x:v>
      </x:c>
      <x:c r="G68" s="1"/>
      <x:c r="H68" s="1"/>
    </x:row>
    <x:row r="69" ht="21" customHeight="1">
      <x:c r="A69" s="1" t="n">
        <x:v>46</x:v>
      </x:c>
      <x:c r="B69" s="7" t="n">
        <x:f>ROUND($B$6*$B$7^(A69-1),0)</x:f>
        <x:v>67613</x:v>
      </x:c>
      <x:c r="C69" s="7" t="n">
        <x:f>ROUND(B69*$B$15,0)</x:f>
        <x:v>324542</x:v>
      </x:c>
      <x:c r="D69" s="7" t="n">
        <x:f>ROUND($B$8*$B$9^(A69-1),0)</x:f>
        <x:v>14318</x:v>
      </x:c>
      <x:c r="E69" s="7" t="n">
        <x:f>ROUND($B$10*$B$11^(A69-1),0)</x:f>
        <x:v>30900</x:v>
      </x:c>
      <x:c r="F69" s="7" t="n">
        <x:f>ROUND($B$12*$B$13^(A69-1)*$B$14^INT(A69/5),0)</x:f>
        <x:v>12704</x:v>
      </x:c>
      <x:c r="G69" s="1"/>
      <x:c r="H69" s="1"/>
    </x:row>
    <x:row r="70" ht="21" customHeight="1">
      <x:c r="A70" s="1" t="n">
        <x:v>47</x:v>
      </x:c>
      <x:c r="B70" s="7" t="n">
        <x:f>ROUND($B$6*$B$7^(A70-1),0)</x:f>
        <x:v>78431</x:v>
      </x:c>
      <x:c r="C70" s="7" t="n">
        <x:f>ROUND(B70*$B$15,0)</x:f>
        <x:v>376469</x:v>
      </x:c>
      <x:c r="D70" s="7" t="n">
        <x:f>ROUND($B$8*$B$9^(A70-1),0)</x:f>
        <x:v>16609</x:v>
      </x:c>
      <x:c r="E70" s="7" t="n">
        <x:f>ROUND($B$10*$B$11^(A70-1),0)</x:f>
        <x:v>36462</x:v>
      </x:c>
      <x:c r="F70" s="7" t="n">
        <x:f>ROUND($B$12*$B$13^(A70-1)*$B$14^INT(A70/5),0)</x:f>
        <x:v>14609</x:v>
      </x:c>
      <x:c r="G70" s="1"/>
      <x:c r="H70" s="1"/>
    </x:row>
    <x:row r="71" ht="21" customHeight="1">
      <x:c r="A71" s="1" t="n">
        <x:v>48</x:v>
      </x:c>
      <x:c r="B71" s="7" t="n">
        <x:f>ROUND($B$6*$B$7^(A71-1),0)</x:f>
        <x:v>90980</x:v>
      </x:c>
      <x:c r="C71" s="7" t="n">
        <x:f>ROUND(B71*$B$15,0)</x:f>
        <x:v>436704</x:v>
      </x:c>
      <x:c r="D71" s="7" t="n">
        <x:f>ROUND($B$8*$B$9^(A71-1),0)</x:f>
        <x:v>19266</x:v>
      </x:c>
      <x:c r="E71" s="7" t="n">
        <x:f>ROUND($B$10*$B$11^(A71-1),0)</x:f>
        <x:v>43026</x:v>
      </x:c>
      <x:c r="F71" s="7" t="n">
        <x:f>ROUND($B$12*$B$13^(A71-1)*$B$14^INT(A71/5),0)</x:f>
        <x:v>16801</x:v>
      </x:c>
      <x:c r="G71" s="1"/>
      <x:c r="H71" s="1"/>
    </x:row>
    <x:row r="72" ht="21" customHeight="1">
      <x:c r="A72" s="1" t="n">
        <x:v>49</x:v>
      </x:c>
      <x:c r="B72" s="7" t="n">
        <x:f>ROUND($B$6*$B$7^(A72-1),0)</x:f>
        <x:v>105536</x:v>
      </x:c>
      <x:c r="C72" s="7" t="n">
        <x:f>ROUND(B72*$B$15,0)</x:f>
        <x:v>506573</x:v>
      </x:c>
      <x:c r="D72" s="7" t="n">
        <x:f>ROUND($B$8*$B$9^(A72-1),0)</x:f>
        <x:v>22349</x:v>
      </x:c>
      <x:c r="E72" s="7" t="n">
        <x:f>ROUND($B$10*$B$11^(A72-1),0)</x:f>
        <x:v>50770</x:v>
      </x:c>
      <x:c r="F72" s="7" t="n">
        <x:f>ROUND($B$12*$B$13^(A72-1)*$B$14^INT(A72/5),0)</x:f>
        <x:v>19321</x:v>
      </x:c>
      <x:c r="G72" s="1"/>
      <x:c r="H72" s="1"/>
    </x:row>
    <x:row r="73" ht="21" customHeight="1">
      <x:c r="A73" s="1" t="n">
        <x:v>50</x:v>
      </x:c>
      <x:c r="B73" s="7" t="n">
        <x:f>ROUND($B$6*$B$7^(A73-1),0)</x:f>
        <x:v>122422</x:v>
      </x:c>
      <x:c r="C73" s="7" t="n">
        <x:f>ROUND(B73*$B$15,0)</x:f>
        <x:v>587626</x:v>
      </x:c>
      <x:c r="D73" s="7" t="n">
        <x:f>ROUND($B$8*$B$9^(A73-1),0)</x:f>
        <x:v>25925</x:v>
      </x:c>
      <x:c r="E73" s="7" t="n">
        <x:f>ROUND($B$10*$B$11^(A73-1),0)</x:f>
        <x:v>59909</x:v>
      </x:c>
      <x:c r="F73" s="7" t="n">
        <x:f>ROUND($B$12*$B$13^(A73-1)*$B$14^INT(A73/5),0)</x:f>
        <x:v>24441</x:v>
      </x:c>
      <x:c r="G73" s="1"/>
      <x:c r="H73" s="1"/>
    </x:row>
    <x:row r="74" ht="21" customHeight="1">
      <x:c r="A74" s="1" t="n">
        <x:v>51</x:v>
      </x:c>
      <x:c r="B74" s="7" t="n">
        <x:f>ROUND($B$6*$B$7^(A74-1),0)</x:f>
        <x:v>142010</x:v>
      </x:c>
      <x:c r="C74" s="7" t="n">
        <x:f>ROUND(B74*$B$15,0)</x:f>
        <x:v>681648</x:v>
      </x:c>
      <x:c r="D74" s="7" t="n">
        <x:f>ROUND($B$8*$B$9^(A74-1),0)</x:f>
        <x:v>30073</x:v>
      </x:c>
      <x:c r="E74" s="7" t="n">
        <x:f>ROUND($B$10*$B$11^(A74-1),0)</x:f>
        <x:v>70692</x:v>
      </x:c>
      <x:c r="F74" s="7" t="n">
        <x:f>ROUND($B$12*$B$13^(A74-1)*$B$14^INT(A74/5),0)</x:f>
        <x:v>28107</x:v>
      </x:c>
      <x:c r="G74" s="1"/>
      <x:c r="H74" s="1"/>
    </x:row>
    <x:row r="75" ht="21" customHeight="1">
      <x:c r="A75" s="1" t="n">
        <x:v>52</x:v>
      </x:c>
      <x:c r="B75" s="7" t="n">
        <x:f>ROUND($B$6*$B$7^(A75-1),0)</x:f>
        <x:v>164731</x:v>
      </x:c>
      <x:c r="C75" s="7" t="n">
        <x:f>ROUND(B75*$B$15,0)</x:f>
        <x:v>790709</x:v>
      </x:c>
      <x:c r="D75" s="7" t="n">
        <x:f>ROUND($B$8*$B$9^(A75-1),0)</x:f>
        <x:v>34884</x:v>
      </x:c>
      <x:c r="E75" s="7" t="n">
        <x:f>ROUND($B$10*$B$11^(A75-1),0)</x:f>
        <x:v>83417</x:v>
      </x:c>
      <x:c r="F75" s="7" t="n">
        <x:f>ROUND($B$12*$B$13^(A75-1)*$B$14^INT(A75/5),0)</x:f>
        <x:v>32323</x:v>
      </x:c>
      <x:c r="G75" s="1"/>
      <x:c r="H75" s="1"/>
    </x:row>
    <x:row r="76" ht="21" customHeight="1">
      <x:c r="A76" s="1" t="n">
        <x:v>53</x:v>
      </x:c>
      <x:c r="B76" s="7" t="n">
        <x:f>ROUND($B$6*$B$7^(A76-1),0)</x:f>
        <x:v>191088</x:v>
      </x:c>
      <x:c r="C76" s="7" t="n">
        <x:f>ROUND(B76*$B$15,0)</x:f>
        <x:v>917222</x:v>
      </x:c>
      <x:c r="D76" s="7" t="n">
        <x:f>ROUND($B$8*$B$9^(A76-1),0)</x:f>
        <x:v>40466</x:v>
      </x:c>
      <x:c r="E76" s="7" t="n">
        <x:f>ROUND($B$10*$B$11^(A76-1),0)</x:f>
        <x:v>98432</x:v>
      </x:c>
      <x:c r="F76" s="7" t="n">
        <x:f>ROUND($B$12*$B$13^(A76-1)*$B$14^INT(A76/5),0)</x:f>
        <x:v>37172</x:v>
      </x:c>
      <x:c r="G76" s="1"/>
      <x:c r="H76" s="1"/>
    </x:row>
    <x:row r="77" ht="21" customHeight="1">
      <x:c r="A77" s="1" t="n">
        <x:v>54</x:v>
      </x:c>
      <x:c r="B77" s="7" t="n">
        <x:f>ROUND($B$6*$B$7^(A77-1),0)</x:f>
        <x:v>221663</x:v>
      </x:c>
      <x:c r="C77" s="7" t="n">
        <x:f>ROUND(B77*$B$15,0)</x:f>
        <x:v>1063982</x:v>
      </x:c>
      <x:c r="D77" s="7" t="n">
        <x:f>ROUND($B$8*$B$9^(A77-1),0)</x:f>
        <x:v>46940</x:v>
      </x:c>
      <x:c r="E77" s="7" t="n">
        <x:f>ROUND($B$10*$B$11^(A77-1),0)</x:f>
        <x:v>116150</x:v>
      </x:c>
      <x:c r="F77" s="7" t="n">
        <x:f>ROUND($B$12*$B$13^(A77-1)*$B$14^INT(A77/5),0)</x:f>
        <x:v>42748</x:v>
      </x:c>
      <x:c r="G77" s="1"/>
      <x:c r="H77" s="1"/>
    </x:row>
    <x:row r="78" ht="21" customHeight="1">
      <x:c r="A78" s="1" t="n">
        <x:v>55</x:v>
      </x:c>
      <x:c r="B78" s="7" t="n">
        <x:f>ROUND($B$6*$B$7^(A78-1),0)</x:f>
        <x:v>257129</x:v>
      </x:c>
      <x:c r="C78" s="7" t="n">
        <x:f>ROUND(B78*$B$15,0)</x:f>
        <x:v>1234219</x:v>
      </x:c>
      <x:c r="D78" s="7" t="n">
        <x:f>ROUND($B$8*$B$9^(A78-1),0)</x:f>
        <x:v>54451</x:v>
      </x:c>
      <x:c r="E78" s="7" t="n">
        <x:f>ROUND($B$10*$B$11^(A78-1),0)</x:f>
        <x:v>137057</x:v>
      </x:c>
      <x:c r="F78" s="7" t="n">
        <x:f>ROUND($B$12*$B$13^(A78-1)*$B$14^INT(A78/5),0)</x:f>
        <x:v>54076</x:v>
      </x:c>
      <x:c r="G78" s="1"/>
      <x:c r="H78" s="1"/>
    </x:row>
    <x:row r="79" ht="21" customHeight="1">
      <x:c r="A79" s="1" t="n">
        <x:v>56</x:v>
      </x:c>
      <x:c r="B79" s="7" t="n">
        <x:f>ROUND($B$6*$B$7^(A79-1),0)</x:f>
        <x:v>298269</x:v>
      </x:c>
      <x:c r="C79" s="7" t="n">
        <x:f>ROUND(B79*$B$15,0)</x:f>
        <x:v>1431691</x:v>
      </x:c>
      <x:c r="D79" s="7" t="n">
        <x:f>ROUND($B$8*$B$9^(A79-1),0)</x:f>
        <x:v>63163</x:v>
      </x:c>
      <x:c r="E79" s="7" t="n">
        <x:f>ROUND($B$10*$B$11^(A79-1),0)</x:f>
        <x:v>161727</x:v>
      </x:c>
      <x:c r="F79" s="7" t="n">
        <x:f>ROUND($B$12*$B$13^(A79-1)*$B$14^INT(A79/5),0)</x:f>
        <x:v>62187</x:v>
      </x:c>
      <x:c r="G79" s="1"/>
      <x:c r="H79" s="1"/>
    </x:row>
    <x:row r="80" ht="21" customHeight="1">
      <x:c r="A80" s="1" t="n">
        <x:v>57</x:v>
      </x:c>
      <x:c r="B80" s="7" t="n">
        <x:f>ROUND($B$6*$B$7^(A80-1),0)</x:f>
        <x:v>345992</x:v>
      </x:c>
      <x:c r="C80" s="7" t="n">
        <x:f>ROUND(B80*$B$15,0)</x:f>
        <x:v>1660762</x:v>
      </x:c>
      <x:c r="D80" s="7" t="n">
        <x:f>ROUND($B$8*$B$9^(A80-1),0)</x:f>
        <x:v>73269</x:v>
      </x:c>
      <x:c r="E80" s="7" t="n">
        <x:f>ROUND($B$10*$B$11^(A80-1),0)</x:f>
        <x:v>190838</x:v>
      </x:c>
      <x:c r="F80" s="7" t="n">
        <x:f>ROUND($B$12*$B$13^(A80-1)*$B$14^INT(A80/5),0)</x:f>
        <x:v>71515</x:v>
      </x:c>
      <x:c r="G80" s="1"/>
      <x:c r="H80" s="1"/>
    </x:row>
    <x:row r="81" ht="21" customHeight="1">
      <x:c r="A81" s="1" t="n">
        <x:v>58</x:v>
      </x:c>
      <x:c r="B81" s="7" t="n">
        <x:f>ROUND($B$6*$B$7^(A81-1),0)</x:f>
        <x:v>401351</x:v>
      </x:c>
      <x:c r="C81" s="7" t="n">
        <x:f>ROUND(B81*$B$15,0)</x:f>
        <x:v>1926485</x:v>
      </x:c>
      <x:c r="D81" s="7" t="n">
        <x:f>ROUND($B$8*$B$9^(A81-1),0)</x:f>
        <x:v>84992</x:v>
      </x:c>
      <x:c r="E81" s="7" t="n">
        <x:f>ROUND($B$10*$B$11^(A81-1),0)</x:f>
        <x:v>225189</x:v>
      </x:c>
      <x:c r="F81" s="7" t="n">
        <x:f>ROUND($B$12*$B$13^(A81-1)*$B$14^INT(A81/5),0)</x:f>
        <x:v>82243</x:v>
      </x:c>
      <x:c r="G81" s="1"/>
      <x:c r="H81" s="1"/>
    </x:row>
    <x:row r="82" ht="21" customHeight="1">
      <x:c r="A82" s="1" t="n">
        <x:v>59</x:v>
      </x:c>
      <x:c r="B82" s="7" t="n">
        <x:f>ROUND($B$6*$B$7^(A82-1),0)</x:f>
        <x:v>465567</x:v>
      </x:c>
      <x:c r="C82" s="7" t="n">
        <x:f>ROUND(B82*$B$15,0)</x:f>
        <x:v>2234722</x:v>
      </x:c>
      <x:c r="D82" s="7" t="n">
        <x:f>ROUND($B$8*$B$9^(A82-1),0)</x:f>
        <x:v>98591</x:v>
      </x:c>
      <x:c r="E82" s="7" t="n">
        <x:f>ROUND($B$10*$B$11^(A82-1),0)</x:f>
        <x:v>265723</x:v>
      </x:c>
      <x:c r="F82" s="7" t="n">
        <x:f>ROUND($B$12*$B$13^(A82-1)*$B$14^INT(A82/5),0)</x:f>
        <x:v>94579</x:v>
      </x:c>
      <x:c r="G82" s="1"/>
      <x:c r="H82" s="1"/>
    </x:row>
    <x:row r="83" ht="21" customHeight="1">
      <x:c r="A83" s="1" t="n">
        <x:v>60</x:v>
      </x:c>
      <x:c r="B83" s="7" t="n">
        <x:f>ROUND($B$6*$B$7^(A83-1),0)</x:f>
        <x:v>540058</x:v>
      </x:c>
      <x:c r="C83" s="7" t="n">
        <x:f>ROUND(B83*$B$15,0)</x:f>
        <x:v>2592278</x:v>
      </x:c>
      <x:c r="D83" s="7" t="n">
        <x:f>ROUND($B$8*$B$9^(A83-1),0)</x:f>
        <x:v>114365</x:v>
      </x:c>
      <x:c r="E83" s="7" t="n">
        <x:f>ROUND($B$10*$B$11^(A83-1),0)</x:f>
        <x:v>313553</x:v>
      </x:c>
      <x:c r="F83" s="7" t="n">
        <x:f>ROUND($B$12*$B$13^(A83-1)*$B$14^INT(A83/5),0)</x:f>
        <x:v>119642</x:v>
      </x:c>
      <x:c r="G83" s="1"/>
      <x:c r="H83" s="1"/>
    </x:row>
    <x:row r="84" ht="21" customHeight="1">
      <x:c r="A84" s="1" t="n">
        <x:v>61</x:v>
      </x:c>
      <x:c r="B84" s="7" t="n">
        <x:f>ROUND($B$6*$B$7^(A84-1),0)</x:f>
        <x:v>626467</x:v>
      </x:c>
      <x:c r="C84" s="7" t="n">
        <x:f>ROUND(B84*$B$15,0)</x:f>
        <x:v>3007042</x:v>
      </x:c>
      <x:c r="D84" s="7" t="n">
        <x:f>ROUND($B$8*$B$9^(A84-1),0)</x:f>
        <x:v>132664</x:v>
      </x:c>
      <x:c r="E84" s="7" t="n">
        <x:f>ROUND($B$10*$B$11^(A84-1),0)</x:f>
        <x:v>369993</x:v>
      </x:c>
      <x:c r="F84" s="7" t="n">
        <x:f>ROUND($B$12*$B$13^(A84-1)*$B$14^INT(A84/5),0)</x:f>
        <x:v>137589</x:v>
      </x:c>
      <x:c r="G84" s="1"/>
      <x:c r="H84" s="1"/>
    </x:row>
    <x:row r="85" ht="21" customHeight="1">
      <x:c r="A85" s="1" t="n">
        <x:v>62</x:v>
      </x:c>
      <x:c r="B85" s="7" t="n">
        <x:f>ROUND($B$6*$B$7^(A85-1),0)</x:f>
        <x:v>726702</x:v>
      </x:c>
      <x:c r="C85" s="7" t="n">
        <x:f>ROUND(B85*$B$15,0)</x:f>
        <x:v>3488170</x:v>
      </x:c>
      <x:c r="D85" s="7" t="n">
        <x:f>ROUND($B$8*$B$9^(A85-1),0)</x:f>
        <x:v>153890</x:v>
      </x:c>
      <x:c r="E85" s="7" t="n">
        <x:f>ROUND($B$10*$B$11^(A85-1),0)</x:f>
        <x:v>436591</x:v>
      </x:c>
      <x:c r="F85" s="7" t="n">
        <x:f>ROUND($B$12*$B$13^(A85-1)*$B$14^INT(A85/5),0)</x:f>
        <x:v>158227</x:v>
      </x:c>
      <x:c r="G85" s="1"/>
      <x:c r="H85" s="1"/>
    </x:row>
    <x:row r="86" ht="21" customHeight="1">
      <x:c r="A86" s="1" t="n">
        <x:v>63</x:v>
      </x:c>
      <x:c r="B86" s="7" t="n">
        <x:f>ROUND($B$6*$B$7^(A86-1),0)</x:f>
        <x:v>842974</x:v>
      </x:c>
      <x:c r="C86" s="7" t="n">
        <x:f>ROUND(B86*$B$15,0)</x:f>
        <x:v>4046275</x:v>
      </x:c>
      <x:c r="D86" s="7" t="n">
        <x:f>ROUND($B$8*$B$9^(A86-1),0)</x:f>
        <x:v>178512</x:v>
      </x:c>
      <x:c r="E86" s="7" t="n">
        <x:f>ROUND($B$10*$B$11^(A86-1),0)</x:f>
        <x:v>515178</x:v>
      </x:c>
      <x:c r="F86" s="7" t="n">
        <x:f>ROUND($B$12*$B$13^(A86-1)*$B$14^INT(A86/5),0)</x:f>
        <x:v>181961</x:v>
      </x:c>
      <x:c r="G86" s="1"/>
      <x:c r="H86" s="1"/>
    </x:row>
    <x:row r="87" ht="21" customHeight="1">
      <x:c r="A87" s="1" t="n">
        <x:v>64</x:v>
      </x:c>
      <x:c r="B87" s="7" t="n">
        <x:f>ROUND($B$6*$B$7^(A87-1),0)</x:f>
        <x:v>977850</x:v>
      </x:c>
      <x:c r="C87" s="7" t="n">
        <x:f>ROUND(B87*$B$15,0)</x:f>
        <x:v>4693680</x:v>
      </x:c>
      <x:c r="D87" s="7" t="n">
        <x:f>ROUND($B$8*$B$9^(A87-1),0)</x:f>
        <x:v>207074</x:v>
      </x:c>
      <x:c r="E87" s="7" t="n">
        <x:f>ROUND($B$10*$B$11^(A87-1),0)</x:f>
        <x:v>607910</x:v>
      </x:c>
      <x:c r="F87" s="7" t="n">
        <x:f>ROUND($B$12*$B$13^(A87-1)*$B$14^INT(A87/5),0)</x:f>
        <x:v>209255</x:v>
      </x:c>
      <x:c r="G87" s="1"/>
      <x:c r="H87" s="1"/>
    </x:row>
    <x:row r="88" ht="21" customHeight="1">
      <x:c r="A88" s="1" t="n">
        <x:v>65</x:v>
      </x:c>
      <x:c r="B88" s="7" t="n">
        <x:f>ROUND($B$6*$B$7^(A88-1),0)</x:f>
        <x:v>1134306</x:v>
      </x:c>
      <x:c r="C88" s="7" t="n">
        <x:f>ROUND(B88*$B$15,0)</x:f>
        <x:v>5444669</x:v>
      </x:c>
      <x:c r="D88" s="7" t="n">
        <x:f>ROUND($B$8*$B$9^(A88-1),0)</x:f>
        <x:v>240206</x:v>
      </x:c>
      <x:c r="E88" s="7" t="n">
        <x:f>ROUND($B$10*$B$11^(A88-1),0)</x:f>
        <x:v>717333</x:v>
      </x:c>
      <x:c r="F88" s="7" t="n">
        <x:f>ROUND($B$12*$B$13^(A88-1)*$B$14^INT(A88/5),0)</x:f>
        <x:v>264708</x:v>
      </x:c>
      <x:c r="G88" s="1"/>
      <x:c r="H88" s="1"/>
    </x:row>
    <x:row r="89" ht="21" customHeight="1">
      <x:c r="A89" s="1" t="n">
        <x:v>66</x:v>
      </x:c>
      <x:c r="B89" s="7" t="n">
        <x:f>ROUND($B$6*$B$7^(A89-1),0)</x:f>
        <x:v>1315795</x:v>
      </x:c>
      <x:c r="C89" s="7" t="n">
        <x:f>ROUND(B89*$B$15,0)</x:f>
        <x:v>6315816</x:v>
      </x:c>
      <x:c r="D89" s="7" t="n">
        <x:f>ROUND($B$8*$B$9^(A89-1),0)</x:f>
        <x:v>278639</x:v>
      </x:c>
      <x:c r="E89" s="7" t="n">
        <x:f>ROUND($B$10*$B$11^(A89-1),0)</x:f>
        <x:v>846453</x:v>
      </x:c>
      <x:c r="F89" s="7" t="n">
        <x:f>ROUND($B$12*$B$13^(A89-1)*$B$14^INT(A89/5),0)</x:f>
        <x:v>304414</x:v>
      </x:c>
      <x:c r="G89" s="1"/>
      <x:c r="H89" s="1"/>
    </x:row>
    <x:row r="90" ht="21" customHeight="1">
      <x:c r="A90" s="1" t="n">
        <x:v>67</x:v>
      </x:c>
      <x:c r="B90" s="7" t="n">
        <x:f>ROUND($B$6*$B$7^(A90-1),0)</x:f>
        <x:v>1526322</x:v>
      </x:c>
      <x:c r="C90" s="7" t="n">
        <x:f>ROUND(B90*$B$15,0)</x:f>
        <x:v>7326346</x:v>
      </x:c>
      <x:c r="D90" s="7" t="n">
        <x:f>ROUND($B$8*$B$9^(A90-1),0)</x:f>
        <x:v>323221</x:v>
      </x:c>
      <x:c r="E90" s="7" t="n">
        <x:f>ROUND($B$10*$B$11^(A90-1),0)</x:f>
        <x:v>998815</x:v>
      </x:c>
      <x:c r="F90" s="7" t="n">
        <x:f>ROUND($B$12*$B$13^(A90-1)*$B$14^INT(A90/5),0)</x:f>
        <x:v>350076</x:v>
      </x:c>
      <x:c r="G90" s="1"/>
      <x:c r="H90" s="1"/>
    </x:row>
    <x:row r="91" ht="21" customHeight="1">
      <x:c r="A91" s="1" t="n">
        <x:v>68</x:v>
      </x:c>
      <x:c r="B91" s="7" t="n">
        <x:f>ROUND($B$6*$B$7^(A91-1),0)</x:f>
        <x:v>1770534</x:v>
      </x:c>
      <x:c r="C91" s="7" t="n">
        <x:f>ROUND(B91*$B$15,0)</x:f>
        <x:v>8498563</x:v>
      </x:c>
      <x:c r="D91" s="7" t="n">
        <x:f>ROUND($B$8*$B$9^(A91-1),0)</x:f>
        <x:v>374937</x:v>
      </x:c>
      <x:c r="E91" s="7" t="n">
        <x:f>ROUND($B$10*$B$11^(A91-1),0)</x:f>
        <x:v>1178602</x:v>
      </x:c>
      <x:c r="F91" s="7" t="n">
        <x:f>ROUND($B$12*$B$13^(A91-1)*$B$14^INT(A91/5),0)</x:f>
        <x:v>402587</x:v>
      </x:c>
      <x:c r="G91" s="1"/>
      <x:c r="H91" s="1"/>
    </x:row>
    <x:row r="92" ht="21" customHeight="1">
      <x:c r="A92" s="1" t="n">
        <x:v>69</x:v>
      </x:c>
      <x:c r="B92" s="7" t="n">
        <x:f>ROUND($B$6*$B$7^(A92-1),0)</x:f>
        <x:v>2053819</x:v>
      </x:c>
      <x:c r="C92" s="7" t="n">
        <x:f>ROUND(B92*$B$15,0)</x:f>
        <x:v>9858331</x:v>
      </x:c>
      <x:c r="D92" s="7" t="n">
        <x:f>ROUND($B$8*$B$9^(A92-1),0)</x:f>
        <x:v>434926</x:v>
      </x:c>
      <x:c r="E92" s="7" t="n">
        <x:f>ROUND($B$10*$B$11^(A92-1),0)</x:f>
        <x:v>1390750</x:v>
      </x:c>
      <x:c r="F92" s="7" t="n">
        <x:f>ROUND($B$12*$B$13^(A92-1)*$B$14^INT(A92/5),0)</x:f>
        <x:v>462976</x:v>
      </x:c>
      <x:c r="G92" s="1"/>
      <x:c r="H92" s="1"/>
    </x:row>
    <x:row r="93" ht="21" customHeight="1">
      <x:c r="A93" s="1" t="n">
        <x:v>70</x:v>
      </x:c>
      <x:c r="B93" s="7" t="n">
        <x:f>ROUND($B$6*$B$7^(A93-1),0)</x:f>
        <x:v>2382430</x:v>
      </x:c>
      <x:c r="C93" s="7" t="n">
        <x:f>ROUND(B93*$B$15,0)</x:f>
        <x:v>11435664</x:v>
      </x:c>
      <x:c r="D93" s="7" t="n">
        <x:f>ROUND($B$8*$B$9^(A93-1),0)</x:f>
        <x:v>504515</x:v>
      </x:c>
      <x:c r="E93" s="7" t="n">
        <x:f>ROUND($B$10*$B$11^(A93-1),0)</x:f>
        <x:v>1641085</x:v>
      </x:c>
      <x:c r="F93" s="7" t="n">
        <x:f>ROUND($B$12*$B$13^(A93-1)*$B$14^INT(A93/5),0)</x:f>
        <x:v>585664</x:v>
      </x:c>
      <x:c r="G93" s="1"/>
      <x:c r="H93" s="1"/>
    </x:row>
    <x:row r="94" ht="21" customHeight="1">
      <x:c r="A94" s="1" t="n">
        <x:v>71</x:v>
      </x:c>
      <x:c r="B94" s="7" t="n">
        <x:f>ROUND($B$6*$B$7^(A94-1),0)</x:f>
        <x:v>2763619</x:v>
      </x:c>
      <x:c r="C94" s="7" t="n">
        <x:f>ROUND(B94*$B$15,0)</x:f>
        <x:v>13265371</x:v>
      </x:c>
      <x:c r="D94" s="7" t="n">
        <x:f>ROUND($B$8*$B$9^(A94-1),0)</x:f>
        <x:v>585237</x:v>
      </x:c>
      <x:c r="E94" s="7" t="n">
        <x:f>ROUND($B$10*$B$11^(A94-1),0)</x:f>
        <x:v>1936480</x:v>
      </x:c>
      <x:c r="F94" s="7" t="n">
        <x:f>ROUND($B$12*$B$13^(A94-1)*$B$14^INT(A94/5),0)</x:f>
        <x:v>673514</x:v>
      </x:c>
      <x:c r="G94" s="1"/>
      <x:c r="H94" s="1"/>
    </x:row>
    <x:row r="95" ht="21" customHeight="1">
      <x:c r="A95" s="1" t="n">
        <x:v>72</x:v>
      </x:c>
      <x:c r="B95" s="7" t="n">
        <x:f>ROUND($B$6*$B$7^(A95-1),0)</x:f>
        <x:v>3205798</x:v>
      </x:c>
      <x:c r="C95" s="7" t="n">
        <x:f>ROUND(B95*$B$15,0)</x:f>
        <x:v>15387830</x:v>
      </x:c>
      <x:c r="D95" s="7" t="n">
        <x:f>ROUND($B$8*$B$9^(A95-1),0)</x:f>
        <x:v>678875</x:v>
      </x:c>
      <x:c r="E95" s="7" t="n">
        <x:f>ROUND($B$10*$B$11^(A95-1),0)</x:f>
        <x:v>2285046</x:v>
      </x:c>
      <x:c r="F95" s="7" t="n">
        <x:f>ROUND($B$12*$B$13^(A95-1)*$B$14^INT(A95/5),0)</x:f>
        <x:v>774541</x:v>
      </x:c>
      <x:c r="G95" s="1"/>
      <x:c r="H95" s="1"/>
    </x:row>
    <x:row r="96" ht="21" customHeight="1">
      <x:c r="A96" s="1" t="n">
        <x:v>73</x:v>
      </x:c>
      <x:c r="B96" s="7" t="n">
        <x:f>ROUND($B$6*$B$7^(A96-1),0)</x:f>
        <x:v>3718726</x:v>
      </x:c>
      <x:c r="C96" s="7" t="n">
        <x:f>ROUND(B96*$B$15,0)</x:f>
        <x:v>17849885</x:v>
      </x:c>
      <x:c r="D96" s="7" t="n">
        <x:f>ROUND($B$8*$B$9^(A96-1),0)</x:f>
        <x:v>787495</x:v>
      </x:c>
      <x:c r="E96" s="7" t="n">
        <x:f>ROUND($B$10*$B$11^(A96-1),0)</x:f>
        <x:v>2696355</x:v>
      </x:c>
      <x:c r="F96" s="7" t="n">
        <x:f>ROUND($B$12*$B$13^(A96-1)*$B$14^INT(A96/5),0)</x:f>
        <x:v>890722</x:v>
      </x:c>
      <x:c r="G96" s="1"/>
      <x:c r="H96" s="1"/>
    </x:row>
    <x:row r="97" ht="21" customHeight="1">
      <x:c r="A97" s="1" t="n">
        <x:v>74</x:v>
      </x:c>
      <x:c r="B97" s="7" t="n">
        <x:f>ROUND($B$6*$B$7^(A97-1),0)</x:f>
        <x:v>4313722</x:v>
      </x:c>
      <x:c r="C97" s="7" t="n">
        <x:f>ROUND(B97*$B$15,0)</x:f>
        <x:v>20705866</x:v>
      </x:c>
      <x:c r="D97" s="7" t="n">
        <x:f>ROUND($B$8*$B$9^(A97-1),0)</x:f>
        <x:v>913494</x:v>
      </x:c>
      <x:c r="E97" s="7" t="n">
        <x:f>ROUND($B$10*$B$11^(A97-1),0)</x:f>
        <x:v>3181699</x:v>
      </x:c>
      <x:c r="F97" s="7" t="n">
        <x:f>ROUND($B$12*$B$13^(A97-1)*$B$14^INT(A97/5),0)</x:f>
        <x:v>1024330</x:v>
      </x:c>
      <x:c r="G97" s="1"/>
      <x:c r="H97" s="1"/>
    </x:row>
    <x:row r="98" ht="21" customHeight="1">
      <x:c r="A98" s="1" t="n">
        <x:v>75</x:v>
      </x:c>
      <x:c r="B98" s="7" t="n">
        <x:f>ROUND($B$6*$B$7^(A98-1),0)</x:f>
        <x:v>5003917</x:v>
      </x:c>
      <x:c r="C98" s="7" t="n">
        <x:f>ROUND(B98*$B$15,0)</x:f>
        <x:v>24018802</x:v>
      </x:c>
      <x:c r="D98" s="7" t="n">
        <x:f>ROUND($B$8*$B$9^(A98-1),0)</x:f>
        <x:v>1059653</x:v>
      </x:c>
      <x:c r="E98" s="7" t="n">
        <x:f>ROUND($B$10*$B$11^(A98-1),0)</x:f>
        <x:v>3754404</x:v>
      </x:c>
      <x:c r="F98" s="7" t="n">
        <x:f>ROUND($B$12*$B$13^(A98-1)*$B$14^INT(A98/5),0)</x:f>
        <x:v>1295778</x:v>
      </x:c>
      <x:c r="G98" s="1"/>
      <x:c r="H98" s="1"/>
    </x:row>
    <x:row r="99" ht="21" customHeight="1">
      <x:c r="A99" s="1" t="n">
        <x:v>76</x:v>
      </x:c>
      <x:c r="B99" s="7" t="n">
        <x:f>ROUND($B$6*$B$7^(A99-1),0)</x:f>
        <x:v>5804544</x:v>
      </x:c>
      <x:c r="C99" s="7" t="n">
        <x:f>ROUND(B99*$B$15,0)</x:f>
        <x:v>27861811</x:v>
      </x:c>
      <x:c r="D99" s="7" t="n">
        <x:f>ROUND($B$8*$B$9^(A99-1),0)</x:f>
        <x:v>1229198</x:v>
      </x:c>
      <x:c r="E99" s="7" t="n">
        <x:f>ROUND($B$10*$B$11^(A99-1),0)</x:f>
        <x:v>4430197</x:v>
      </x:c>
      <x:c r="F99" s="7" t="n">
        <x:f>ROUND($B$12*$B$13^(A99-1)*$B$14^INT(A99/5),0)</x:f>
        <x:v>1490144</x:v>
      </x:c>
      <x:c r="G99" s="1"/>
      <x:c r="H99" s="1"/>
    </x:row>
    <x:row r="100" ht="21" customHeight="1">
      <x:c r="A100" s="1" t="n">
        <x:v>77</x:v>
      </x:c>
      <x:c r="B100" s="7" t="n">
        <x:f>ROUND($B$6*$B$7^(A100-1),0)</x:f>
        <x:v>6733271</x:v>
      </x:c>
      <x:c r="C100" s="7" t="n">
        <x:f>ROUND(B100*$B$15,0)</x:f>
        <x:v>32319701</x:v>
      </x:c>
      <x:c r="D100" s="7" t="n">
        <x:f>ROUND($B$8*$B$9^(A100-1),0)</x:f>
        <x:v>1425869</x:v>
      </x:c>
      <x:c r="E100" s="7" t="n">
        <x:f>ROUND($B$10*$B$11^(A100-1),0)</x:f>
        <x:v>5227633</x:v>
      </x:c>
      <x:c r="F100" s="7" t="n">
        <x:f>ROUND($B$12*$B$13^(A100-1)*$B$14^INT(A100/5),0)</x:f>
        <x:v>1713666</x:v>
      </x:c>
      <x:c r="G100" s="1"/>
      <x:c r="H100" s="1"/>
    </x:row>
    <x:row r="101" ht="21" customHeight="1">
      <x:c r="A101" s="1" t="n">
        <x:v>78</x:v>
      </x:c>
      <x:c r="B101" s="7" t="n">
        <x:f>ROUND($B$6*$B$7^(A101-1),0)</x:f>
        <x:v>7810595</x:v>
      </x:c>
      <x:c r="C101" s="7" t="n">
        <x:f>ROUND(B101*$B$15,0)</x:f>
        <x:v>37490856</x:v>
      </x:c>
      <x:c r="D101" s="7" t="n">
        <x:f>ROUND($B$8*$B$9^(A101-1),0)</x:f>
        <x:v>1654008</x:v>
      </x:c>
      <x:c r="E101" s="7" t="n">
        <x:f>ROUND($B$10*$B$11^(A101-1),0)</x:f>
        <x:v>6168607</x:v>
      </x:c>
      <x:c r="F101" s="7" t="n">
        <x:f>ROUND($B$12*$B$13^(A101-1)*$B$14^INT(A101/5),0)</x:f>
        <x:v>1970716</x:v>
      </x:c>
      <x:c r="G101" s="1"/>
      <x:c r="H101" s="1"/>
    </x:row>
    <x:row r="102" ht="21" customHeight="1">
      <x:c r="A102" s="1" t="n">
        <x:v>79</x:v>
      </x:c>
      <x:c r="B102" s="7" t="n">
        <x:f>ROUND($B$6*$B$7^(A102-1),0)</x:f>
        <x:v>9060290</x:v>
      </x:c>
      <x:c r="C102" s="7" t="n">
        <x:f>ROUND(B102*$B$15,0)</x:f>
        <x:v>43489392</x:v>
      </x:c>
      <x:c r="D102" s="7" t="n">
        <x:f>ROUND($B$8*$B$9^(A102-1),0)</x:f>
        <x:v>1918650</x:v>
      </x:c>
      <x:c r="E102" s="7" t="n">
        <x:f>ROUND($B$10*$B$11^(A102-1),0)</x:f>
        <x:v>7278956</x:v>
      </x:c>
      <x:c r="F102" s="7" t="n">
        <x:f>ROUND($B$12*$B$13^(A102-1)*$B$14^INT(A102/5),0)</x:f>
        <x:v>2266323</x:v>
      </x:c>
      <x:c r="G102" s="1"/>
      <x:c r="H102" s="1"/>
    </x:row>
    <x:row r="103" ht="21" customHeight="1">
      <x:c r="A103" s="1" t="n">
        <x:v>80</x:v>
      </x:c>
      <x:c r="B103" s="7" t="n">
        <x:f>ROUND($B$6*$B$7^(A103-1),0)</x:f>
        <x:v>10509936</x:v>
      </x:c>
      <x:c r="C103" s="7" t="n">
        <x:f>ROUND(B103*$B$15,0)</x:f>
        <x:v>50447693</x:v>
      </x:c>
      <x:c r="D103" s="7" t="n">
        <x:f>ROUND($B$8*$B$9^(A103-1),0)</x:f>
        <x:v>2225634</x:v>
      </x:c>
      <x:c r="E103" s="7" t="n">
        <x:f>ROUND($B$10*$B$11^(A103-1),0)</x:f>
        <x:v>8589168</x:v>
      </x:c>
      <x:c r="F103" s="7" t="n">
        <x:f>ROUND($B$12*$B$13^(A103-1)*$B$14^INT(A103/5),0)</x:f>
        <x:v>2866899</x:v>
      </x:c>
      <x:c r="G103" s="1"/>
      <x:c r="H103" s="1"/>
    </x:row>
    <x:row r="104" ht="21" customHeight="1">
      <x:c r="A104" s="1" t="n">
        <x:v>81</x:v>
      </x:c>
      <x:c r="B104" s="7" t="n">
        <x:f>ROUND($B$6*$B$7^(A104-1),0)</x:f>
        <x:v>12191526</x:v>
      </x:c>
      <x:c r="C104" s="7" t="n">
        <x:f>ROUND(B104*$B$15,0)</x:f>
        <x:v>58519325</x:v>
      </x:c>
      <x:c r="D104" s="7" t="n">
        <x:f>ROUND($B$8*$B$9^(A104-1),0)</x:f>
        <x:v>2581735</x:v>
      </x:c>
      <x:c r="E104" s="7" t="n">
        <x:f>ROUND($B$10*$B$11^(A104-1),0)</x:f>
        <x:v>10135218</x:v>
      </x:c>
      <x:c r="F104" s="7" t="n">
        <x:f>ROUND($B$12*$B$13^(A104-1)*$B$14^INT(A104/5),0)</x:f>
        <x:v>3296934</x:v>
      </x:c>
      <x:c r="G104" s="1"/>
      <x:c r="H104" s="1"/>
    </x:row>
    <x:row r="105" ht="21" customHeight="1">
      <x:c r="A105" s="1" t="n">
        <x:v>82</x:v>
      </x:c>
      <x:c r="B105" s="7" t="n">
        <x:f>ROUND($B$6*$B$7^(A105-1),0)</x:f>
        <x:v>14142170</x:v>
      </x:c>
      <x:c r="C105" s="7" t="n">
        <x:f>ROUND(B105*$B$15,0)</x:f>
        <x:v>67882416</x:v>
      </x:c>
      <x:c r="D105" s="7" t="n">
        <x:f>ROUND($B$8*$B$9^(A105-1),0)</x:f>
        <x:v>2994812</x:v>
      </x:c>
      <x:c r="E105" s="7" t="n">
        <x:f>ROUND($B$10*$B$11^(A105-1),0)</x:f>
        <x:v>11959557</x:v>
      </x:c>
      <x:c r="F105" s="7" t="n">
        <x:f>ROUND($B$12*$B$13^(A105-1)*$B$14^INT(A105/5),0)</x:f>
        <x:v>3791474</x:v>
      </x:c>
      <x:c r="G105" s="1"/>
      <x:c r="H105" s="1"/>
    </x:row>
    <x:row r="106" ht="21" customHeight="1">
      <x:c r="A106" s="1" t="n">
        <x:v>83</x:v>
      </x:c>
      <x:c r="B106" s="7" t="n">
        <x:f>ROUND($B$6*$B$7^(A106-1),0)</x:f>
        <x:v>16404917</x:v>
      </x:c>
      <x:c r="C106" s="7" t="n">
        <x:f>ROUND(B106*$B$15,0)</x:f>
        <x:v>78743602</x:v>
      </x:c>
      <x:c r="D106" s="7" t="n">
        <x:f>ROUND($B$8*$B$9^(A106-1),0)</x:f>
        <x:v>3473982</x:v>
      </x:c>
      <x:c r="E106" s="7" t="n">
        <x:f>ROUND($B$10*$B$11^(A106-1),0)</x:f>
        <x:v>14112277</x:v>
      </x:c>
      <x:c r="F106" s="7" t="n">
        <x:f>ROUND($B$12*$B$13^(A106-1)*$B$14^INT(A106/5),0)</x:f>
        <x:v>4360195</x:v>
      </x:c>
      <x:c r="G106" s="1"/>
      <x:c r="H106" s="1"/>
    </x:row>
    <x:row r="107" ht="21" customHeight="1">
      <x:c r="A107" s="1" t="n">
        <x:v>84</x:v>
      </x:c>
      <x:c r="B107" s="7" t="n">
        <x:f>ROUND($B$6*$B$7^(A107-1),0)</x:f>
        <x:v>19029704</x:v>
      </x:c>
      <x:c r="C107" s="7" t="n">
        <x:f>ROUND(B107*$B$15,0)</x:f>
        <x:v>91342579</x:v>
      </x:c>
      <x:c r="D107" s="7" t="n">
        <x:f>ROUND($B$8*$B$9^(A107-1),0)</x:f>
        <x:v>4029820</x:v>
      </x:c>
      <x:c r="E107" s="7" t="n">
        <x:f>ROUND($B$10*$B$11^(A107-1),0)</x:f>
        <x:v>16652487</x:v>
      </x:c>
      <x:c r="F107" s="7" t="n">
        <x:f>ROUND($B$12*$B$13^(A107-1)*$B$14^INT(A107/5),0)</x:f>
        <x:v>5014224</x:v>
      </x:c>
      <x:c r="G107" s="1"/>
      <x:c r="H107" s="1"/>
    </x:row>
    <x:row r="108" ht="21" customHeight="1">
      <x:c r="A108" s="1" t="n">
        <x:v>85</x:v>
      </x:c>
      <x:c r="B108" s="7" t="n">
        <x:f>ROUND($B$6*$B$7^(A108-1),0)</x:f>
        <x:v>22074457</x:v>
      </x:c>
      <x:c r="C108" s="7" t="n">
        <x:f>ROUND(B108*$B$15,0)</x:f>
        <x:v>105957394</x:v>
      </x:c>
      <x:c r="D108" s="7" t="n">
        <x:f>ROUND($B$8*$B$9^(A108-1),0)</x:f>
        <x:v>4674591</x:v>
      </x:c>
      <x:c r="E108" s="7" t="n">
        <x:f>ROUND($B$10*$B$11^(A108-1),0)</x:f>
        <x:v>19649935</x:v>
      </x:c>
      <x:c r="F108" s="7" t="n">
        <x:f>ROUND($B$12*$B$13^(A108-1)*$B$14^INT(A108/5),0)</x:f>
        <x:v>6342993</x:v>
      </x:c>
      <x:c r="G108" s="1"/>
      <x:c r="H108" s="1"/>
    </x:row>
    <x:row r="109" ht="21" customHeight="1">
      <x:c r="A109" s="1" t="n">
        <x:v>86</x:v>
      </x:c>
      <x:c r="B109" s="7" t="n">
        <x:f>ROUND($B$6*$B$7^(A109-1),0)</x:f>
        <x:v>25606370</x:v>
      </x:c>
      <x:c r="C109" s="7" t="n">
        <x:f>ROUND(B109*$B$15,0)</x:f>
        <x:v>122910576</x:v>
      </x:c>
      <x:c r="D109" s="7" t="n">
        <x:f>ROUND($B$8*$B$9^(A109-1),0)</x:f>
        <x:v>5422525</x:v>
      </x:c>
      <x:c r="E109" s="7" t="n">
        <x:f>ROUND($B$10*$B$11^(A109-1),0)</x:f>
        <x:v>23186923</x:v>
      </x:c>
      <x:c r="F109" s="7" t="n">
        <x:f>ROUND($B$12*$B$13^(A109-1)*$B$14^INT(A109/5),0)</x:f>
        <x:v>7294442</x:v>
      </x:c>
      <x:c r="G109" s="1"/>
      <x:c r="H109" s="1"/>
    </x:row>
    <x:row r="110" ht="21" customHeight="1">
      <x:c r="A110" s="1" t="n">
        <x:v>87</x:v>
      </x:c>
      <x:c r="B110" s="7" t="n">
        <x:f>ROUND($B$6*$B$7^(A110-1),0)</x:f>
        <x:v>29703389</x:v>
      </x:c>
      <x:c r="C110" s="7" t="n">
        <x:f>ROUND(B110*$B$15,0)</x:f>
        <x:v>142576267</x:v>
      </x:c>
      <x:c r="D110" s="7" t="n">
        <x:f>ROUND($B$8*$B$9^(A110-1),0)</x:f>
        <x:v>6290129</x:v>
      </x:c>
      <x:c r="E110" s="7" t="n">
        <x:f>ROUND($B$10*$B$11^(A110-1),0)</x:f>
        <x:v>27360570</x:v>
      </x:c>
      <x:c r="F110" s="7" t="n">
        <x:f>ROUND($B$12*$B$13^(A110-1)*$B$14^INT(A110/5),0)</x:f>
        <x:v>8388608</x:v>
      </x:c>
      <x:c r="G110" s="1"/>
      <x:c r="H110" s="1"/>
    </x:row>
    <x:row r="111" ht="21" customHeight="1">
      <x:c r="A111" s="1" t="n">
        <x:v>88</x:v>
      </x:c>
      <x:c r="B111" s="7" t="n">
        <x:f>ROUND($B$6*$B$7^(A111-1),0)</x:f>
        <x:v>34455931</x:v>
      </x:c>
      <x:c r="C111" s="7" t="n">
        <x:f>ROUND(B111*$B$15,0)</x:f>
        <x:v>165388469</x:v>
      </x:c>
      <x:c r="D111" s="7" t="n">
        <x:f>ROUND($B$8*$B$9^(A111-1),0)</x:f>
        <x:v>7296550</x:v>
      </x:c>
      <x:c r="E111" s="7" t="n">
        <x:f>ROUND($B$10*$B$11^(A111-1),0)</x:f>
        <x:v>32285472</x:v>
      </x:c>
      <x:c r="F111" s="7" t="n">
        <x:f>ROUND($B$12*$B$13^(A111-1)*$B$14^INT(A111/5),0)</x:f>
        <x:v>9646900</x:v>
      </x:c>
      <x:c r="G111" s="1"/>
      <x:c r="H111" s="1"/>
    </x:row>
    <x:row r="112" ht="21" customHeight="1">
      <x:c r="A112" s="1" t="n">
        <x:v>89</x:v>
      </x:c>
      <x:c r="B112" s="7" t="n">
        <x:f>ROUND($B$6*$B$7^(A112-1),0)</x:f>
        <x:v>39968880</x:v>
      </x:c>
      <x:c r="C112" s="7" t="n">
        <x:f>ROUND(B112*$B$15,0)</x:f>
        <x:v>191850624</x:v>
      </x:c>
      <x:c r="D112" s="7" t="n">
        <x:f>ROUND($B$8*$B$9^(A112-1),0)</x:f>
        <x:v>8463998</x:v>
      </x:c>
      <x:c r="E112" s="7" t="n">
        <x:f>ROUND($B$10*$B$11^(A112-1),0)</x:f>
        <x:v>38096857</x:v>
      </x:c>
      <x:c r="F112" s="7" t="n">
        <x:f>ROUND($B$12*$B$13^(A112-1)*$B$14^INT(A112/5),0)</x:f>
        <x:v>11093935</x:v>
      </x:c>
      <x:c r="G112" s="1"/>
      <x:c r="H112" s="1"/>
    </x:row>
    <x:row r="113" ht="21" customHeight="1">
      <x:c r="A113" s="1" t="n">
        <x:v>90</x:v>
      </x:c>
      <x:c r="B113" s="7" t="n">
        <x:f>ROUND($B$6*$B$7^(A113-1),0)</x:f>
        <x:v>46363901</x:v>
      </x:c>
      <x:c r="C113" s="7" t="n">
        <x:f>ROUND(B113*$B$15,0)</x:f>
        <x:v>222546725</x:v>
      </x:c>
      <x:c r="D113" s="7" t="n">
        <x:f>ROUND($B$8*$B$9^(A113-1),0)</x:f>
        <x:v>9818238</x:v>
      </x:c>
      <x:c r="E113" s="7" t="n">
        <x:f>ROUND($B$10*$B$11^(A113-1),0)</x:f>
        <x:v>44954291</x:v>
      </x:c>
      <x:c r="F113" s="7" t="n">
        <x:f>ROUND($B$12*$B$13^(A113-1)*$B$14^INT(A113/5),0)</x:f>
        <x:v>14033827</x:v>
      </x:c>
      <x:c r="G113" s="1"/>
      <x:c r="H113" s="1"/>
    </x:row>
    <x:row r="114" ht="21" customHeight="1">
      <x:c r="A114" s="1" t="n">
        <x:v>91</x:v>
      </x:c>
      <x:c r="B114" s="7" t="n">
        <x:f>ROUND($B$6*$B$7^(A114-1),0)</x:f>
        <x:v>53782125</x:v>
      </x:c>
      <x:c r="C114" s="7" t="n">
        <x:f>ROUND(B114*$B$15,0)</x:f>
        <x:v>258154200</x:v>
      </x:c>
      <x:c r="D114" s="7" t="n">
        <x:f>ROUND($B$8*$B$9^(A114-1),0)</x:f>
        <x:v>11389156</x:v>
      </x:c>
      <x:c r="E114" s="7" t="n">
        <x:f>ROUND($B$10*$B$11^(A114-1),0)</x:f>
        <x:v>53046064</x:v>
      </x:c>
      <x:c r="F114" s="7" t="n">
        <x:f>ROUND($B$12*$B$13^(A114-1)*$B$14^INT(A114/5),0)</x:f>
        <x:v>16138901</x:v>
      </x:c>
      <x:c r="G114" s="1"/>
      <x:c r="H114" s="1"/>
    </x:row>
    <x:row r="115" ht="21" customHeight="1">
      <x:c r="A115" s="1" t="n">
        <x:v>92</x:v>
      </x:c>
      <x:c r="B115" s="7" t="n">
        <x:f>ROUND($B$6*$B$7^(A115-1),0)</x:f>
        <x:v>62387265</x:v>
      </x:c>
      <x:c r="C115" s="7" t="n">
        <x:f>ROUND(B115*$B$15,0)</x:f>
        <x:v>299458872</x:v>
      </x:c>
      <x:c r="D115" s="7" t="n">
        <x:f>ROUND($B$8*$B$9^(A115-1),0)</x:f>
        <x:v>13211421</x:v>
      </x:c>
      <x:c r="E115" s="7" t="n">
        <x:f>ROUND($B$10*$B$11^(A115-1),0)</x:f>
        <x:v>62594355</x:v>
      </x:c>
      <x:c r="F115" s="7" t="n">
        <x:f>ROUND($B$12*$B$13^(A115-1)*$B$14^INT(A115/5),0)</x:f>
        <x:v>18559736</x:v>
      </x:c>
      <x:c r="G115" s="1"/>
      <x:c r="H115" s="1"/>
    </x:row>
    <x:row r="116" ht="21" customHeight="1">
      <x:c r="A116" s="1" t="n">
        <x:v>93</x:v>
      </x:c>
      <x:c r="B116" s="7" t="n">
        <x:f>ROUND($B$6*$B$7^(A116-1),0)</x:f>
        <x:v>72369227</x:v>
      </x:c>
      <x:c r="C116" s="7" t="n">
        <x:f>ROUND(B116*$B$15,0)</x:f>
        <x:v>347372290</x:v>
      </x:c>
      <x:c r="D116" s="7" t="n">
        <x:f>ROUND($B$8*$B$9^(A116-1),0)</x:f>
        <x:v>15325248</x:v>
      </x:c>
      <x:c r="E116" s="7" t="n">
        <x:f>ROUND($B$10*$B$11^(A116-1),0)</x:f>
        <x:v>73861339</x:v>
      </x:c>
      <x:c r="F116" s="7" t="n">
        <x:f>ROUND($B$12*$B$13^(A116-1)*$B$14^INT(A116/5),0)</x:f>
        <x:v>21343697</x:v>
      </x:c>
      <x:c r="G116" s="1"/>
      <x:c r="H116" s="1"/>
    </x:row>
    <x:row r="117" ht="21" customHeight="1">
      <x:c r="A117" s="1" t="n">
        <x:v>94</x:v>
      </x:c>
      <x:c r="B117" s="7" t="n">
        <x:f>ROUND($B$6*$B$7^(A117-1),0)</x:f>
        <x:v>83948303</x:v>
      </x:c>
      <x:c r="C117" s="7" t="n">
        <x:f>ROUND(B117*$B$15,0)</x:f>
        <x:v>402951854</x:v>
      </x:c>
      <x:c r="D117" s="7" t="n">
        <x:f>ROUND($B$8*$B$9^(A117-1),0)</x:f>
        <x:v>17777288</x:v>
      </x:c>
      <x:c r="E117" s="7" t="n">
        <x:f>ROUND($B$10*$B$11^(A117-1),0)</x:f>
        <x:v>87156380</x:v>
      </x:c>
      <x:c r="F117" s="7" t="n">
        <x:f>ROUND($B$12*$B$13^(A117-1)*$B$14^INT(A117/5),0)</x:f>
        <x:v>24545251</x:v>
      </x:c>
      <x:c r="G117" s="1"/>
      <x:c r="H117" s="1"/>
    </x:row>
    <x:row r="118" ht="21" customHeight="1">
      <x:c r="A118" s="1" t="n">
        <x:v>95</x:v>
      </x:c>
      <x:c r="B118" s="7" t="n">
        <x:f>ROUND($B$6*$B$7^(A118-1),0)</x:f>
        <x:v>97380032</x:v>
      </x:c>
      <x:c r="C118" s="7" t="n">
        <x:f>ROUND(B118*$B$15,0)</x:f>
        <x:v>467424154</x:v>
      </x:c>
      <x:c r="D118" s="7" t="n">
        <x:f>ROUND($B$8*$B$9^(A118-1),0)</x:f>
        <x:v>20621654</x:v>
      </x:c>
      <x:c r="E118" s="7" t="n">
        <x:f>ROUND($B$10*$B$11^(A118-1),0)</x:f>
        <x:v>102844529</x:v>
      </x:c>
      <x:c r="F118" s="7" t="n">
        <x:f>ROUND($B$12*$B$13^(A118-1)*$B$14^INT(A118/5),0)</x:f>
        <x:v>31049743</x:v>
      </x:c>
      <x:c r="G118" s="1"/>
      <x:c r="H118" s="1"/>
    </x:row>
    <x:row r="119" ht="21" customHeight="1">
      <x:c r="A119" s="1" t="n">
        <x:v>96</x:v>
      </x:c>
      <x:c r="B119" s="7" t="n">
        <x:f>ROUND($B$6*$B$7^(A119-1),0)</x:f>
        <x:v>112960837</x:v>
      </x:c>
      <x:c r="C119" s="7" t="n">
        <x:f>ROUND(B119*$B$15,0)</x:f>
        <x:v>542212018</x:v>
      </x:c>
      <x:c r="D119" s="7" t="n">
        <x:f>ROUND($B$8*$B$9^(A119-1),0)</x:f>
        <x:v>23921118</x:v>
      </x:c>
      <x:c r="E119" s="7" t="n">
        <x:f>ROUND($B$10*$B$11^(A119-1),0)</x:f>
        <x:v>121356544</x:v>
      </x:c>
      <x:c r="F119" s="7" t="n">
        <x:f>ROUND($B$12*$B$13^(A119-1)*$B$14^INT(A119/5),0)</x:f>
        <x:v>35707205</x:v>
      </x:c>
      <x:c r="G119" s="1"/>
      <x:c r="H119" s="1"/>
    </x:row>
    <x:row r="120" ht="21" customHeight="1">
      <x:c r="A120" s="1" t="n">
        <x:v>97</x:v>
      </x:c>
      <x:c r="B120" s="7" t="n">
        <x:f>ROUND($B$6*$B$7^(A120-1),0)</x:f>
        <x:v>131034571</x:v>
      </x:c>
      <x:c r="C120" s="7" t="n">
        <x:f>ROUND(B120*$B$15,0)</x:f>
        <x:v>628965941</x:v>
      </x:c>
      <x:c r="D120" s="7" t="n">
        <x:f>ROUND($B$8*$B$9^(A120-1),0)</x:f>
        <x:v>27748497</x:v>
      </x:c>
      <x:c r="E120" s="7" t="n">
        <x:f>ROUND($B$10*$B$11^(A120-1),0)</x:f>
        <x:v>143200722</x:v>
      </x:c>
      <x:c r="F120" s="7" t="n">
        <x:f>ROUND($B$12*$B$13^(A120-1)*$B$14^INT(A120/5),0)</x:f>
        <x:v>41063285</x:v>
      </x:c>
      <x:c r="G120" s="1"/>
      <x:c r="H120" s="1"/>
    </x:row>
    <x:row r="121" ht="21" customHeight="1">
      <x:c r="A121" s="1" t="n">
        <x:v>98</x:v>
      </x:c>
      <x:c r="B121" s="7" t="n">
        <x:f>ROUND($B$6*$B$7^(A121-1),0)</x:f>
        <x:v>152000102</x:v>
      </x:c>
      <x:c r="C121" s="7" t="n">
        <x:f>ROUND(B121*$B$15,0)</x:f>
        <x:v>729600490</x:v>
      </x:c>
      <x:c r="D121" s="7" t="n">
        <x:f>ROUND($B$8*$B$9^(A121-1),0)</x:f>
        <x:v>32188257</x:v>
      </x:c>
      <x:c r="E121" s="7" t="n">
        <x:f>ROUND($B$10*$B$11^(A121-1),0)</x:f>
        <x:v>168976852</x:v>
      </x:c>
      <x:c r="F121" s="7" t="n">
        <x:f>ROUND($B$12*$B$13^(A121-1)*$B$14^INT(A121/5),0)</x:f>
        <x:v>47222778</x:v>
      </x:c>
      <x:c r="G121" s="1"/>
      <x:c r="H121" s="1"/>
    </x:row>
    <x:row r="122" ht="21" customHeight="1">
      <x:c r="A122" s="1" t="n">
        <x:v>99</x:v>
      </x:c>
      <x:c r="B122" s="7" t="n">
        <x:f>ROUND($B$6*$B$7^(A122-1),0)</x:f>
        <x:v>176320119</x:v>
      </x:c>
      <x:c r="C122" s="7" t="n">
        <x:f>ROUND(B122*$B$15,0)</x:f>
        <x:v>846336571</x:v>
      </x:c>
      <x:c r="D122" s="7" t="n">
        <x:f>ROUND($B$8*$B$9^(A122-1),0)</x:f>
        <x:v>37338378</x:v>
      </x:c>
      <x:c r="E122" s="7" t="n">
        <x:f>ROUND($B$10*$B$11^(A122-1),0)</x:f>
        <x:v>199392685</x:v>
      </x:c>
      <x:c r="F122" s="7" t="n">
        <x:f>ROUND($B$12*$B$13^(A122-1)*$B$14^INT(A122/5),0)</x:f>
        <x:v>54306195</x:v>
      </x:c>
      <x:c r="G122" s="1"/>
      <x:c r="H122" s="1"/>
    </x:row>
    <x:row r="123" ht="21" customHeight="1">
      <x:c r="A123" s="1" t="n">
        <x:v>100</x:v>
      </x:c>
      <x:c r="B123" s="7" t="n">
        <x:f>ROUND($B$6*$B$7^(A123-1),0)</x:f>
        <x:v>204531338</x:v>
      </x:c>
      <x:c r="C123" s="7" t="n">
        <x:f>ROUND(B123*$B$15,0)</x:f>
        <x:v>981750422</x:v>
      </x:c>
      <x:c r="D123" s="7" t="n">
        <x:f>ROUND($B$8*$B$9^(A123-1),0)</x:f>
        <x:v>43312519</x:v>
      </x:c>
      <x:c r="E123" s="7" t="n">
        <x:f>ROUND($B$10*$B$11^(A123-1),0)</x:f>
        <x:v>235283368</x:v>
      </x:c>
      <x:c r="F123" s="7" t="n">
        <x:f>ROUND($B$12*$B$13^(A123-1)*$B$14^INT(A123/5),0)</x:f>
        <x:v>68697336</x:v>
      </x:c>
      <x:c r="G123" s="1"/>
      <x:c r="H123" s="1"/>
    </x:row>
    <x:row r="124" ht="21" customHeight="1">
      <x:c r="A124" s="1" t="n">
        <x:v>101</x:v>
      </x:c>
      <x:c r="B124" s="7" t="n">
        <x:f>ROUND($B$6*$B$7^(A124-1),0)</x:f>
        <x:v>237256352</x:v>
      </x:c>
      <x:c r="C124" s="7" t="n">
        <x:f>ROUND(B124*$B$15,0)</x:f>
        <x:v>1138830490</x:v>
      </x:c>
      <x:c r="D124" s="7" t="n">
        <x:f>ROUND($B$8*$B$9^(A124-1),0)</x:f>
        <x:v>50242522</x:v>
      </x:c>
      <x:c r="E124" s="7" t="n">
        <x:f>ROUND($B$10*$B$11^(A124-1),0)</x:f>
        <x:v>277634374</x:v>
      </x:c>
      <x:c r="F124" s="7" t="n">
        <x:f>ROUND($B$12*$B$13^(A124-1)*$B$14^INT(A124/5),0)</x:f>
        <x:v>79001937</x:v>
      </x:c>
      <x:c r="G124" s="1"/>
      <x:c r="H124" s="1"/>
    </x:row>
    <x:row r="125" ht="21" customHeight="1">
      <x:c r="A125" s="1" t="n">
        <x:v>102</x:v>
      </x:c>
      <x:c r="B125" s="7" t="n">
        <x:f>ROUND($B$6*$B$7^(A125-1),0)</x:f>
        <x:v>275217368</x:v>
      </x:c>
      <x:c r="C125" s="7" t="n">
        <x:f>ROUND(B125*$B$15,0)</x:f>
        <x:v>1321043366</x:v>
      </x:c>
      <x:c r="D125" s="7" t="n">
        <x:f>ROUND($B$8*$B$9^(A125-1),0)</x:f>
        <x:v>58281325</x:v>
      </x:c>
      <x:c r="E125" s="7" t="n">
        <x:f>ROUND($B$10*$B$11^(A125-1),0)</x:f>
        <x:v>327608562</x:v>
      </x:c>
      <x:c r="F125" s="7" t="n">
        <x:f>ROUND($B$12*$B$13^(A125-1)*$B$14^INT(A125/5),0)</x:f>
        <x:v>90852227</x:v>
      </x:c>
      <x:c r="G125" s="1"/>
      <x:c r="H125" s="1"/>
    </x:row>
    <x:row r="126" ht="21" customHeight="1">
      <x:c r="A126" s="1" t="n">
        <x:v>103</x:v>
      </x:c>
      <x:c r="B126" s="7" t="n">
        <x:f>ROUND($B$6*$B$7^(A126-1),0)</x:f>
        <x:v>319252147</x:v>
      </x:c>
      <x:c r="C126" s="7" t="n">
        <x:f>ROUND(B126*$B$15,0)</x:f>
        <x:v>1532410306</x:v>
      </x:c>
      <x:c r="D126" s="7" t="n">
        <x:f>ROUND($B$8*$B$9^(A126-1),0)</x:f>
        <x:v>67606337</x:v>
      </x:c>
      <x:c r="E126" s="7" t="n">
        <x:f>ROUND($B$10*$B$11^(A126-1),0)</x:f>
        <x:v>386578103</x:v>
      </x:c>
      <x:c r="F126" s="7" t="n">
        <x:f>ROUND($B$12*$B$13^(A126-1)*$B$14^INT(A126/5),0)</x:f>
        <x:v>104480061</x:v>
      </x:c>
      <x:c r="G126" s="1"/>
      <x:c r="H126" s="1"/>
    </x:row>
    <x:row r="127" ht="21" customHeight="1">
      <x:c r="A127" s="1" t="n">
        <x:v>104</x:v>
      </x:c>
      <x:c r="B127" s="7" t="n">
        <x:f>ROUND($B$6*$B$7^(A127-1),0)</x:f>
        <x:v>370332491</x:v>
      </x:c>
      <x:c r="C127" s="7" t="n">
        <x:f>ROUND(B127*$B$15,0)</x:f>
        <x:v>1777595957</x:v>
      </x:c>
      <x:c r="D127" s="7" t="n">
        <x:f>ROUND($B$8*$B$9^(A127-1),0)</x:f>
        <x:v>78423351</x:v>
      </x:c>
      <x:c r="E127" s="7" t="n">
        <x:f>ROUND($B$10*$B$11^(A127-1),0)</x:f>
        <x:v>456162161</x:v>
      </x:c>
      <x:c r="F127" s="7" t="n">
        <x:f>ROUND($B$12*$B$13^(A127-1)*$B$14^INT(A127/5),0)</x:f>
        <x:v>120152071</x:v>
      </x:c>
      <x:c r="G127" s="1"/>
      <x:c r="H127" s="1"/>
    </x:row>
    <x:row r="128" ht="21" customHeight="1">
      <x:c r="A128" s="1" t="n">
        <x:v>105</x:v>
      </x:c>
      <x:c r="B128" s="7" t="n">
        <x:f>ROUND($B$6*$B$7^(A128-1),0)</x:f>
        <x:v>429585689</x:v>
      </x:c>
      <x:c r="C128" s="7" t="n">
        <x:f>ROUND(B128*$B$15,0)</x:f>
        <x:v>2062011307</x:v>
      </x:c>
      <x:c r="D128" s="7" t="n">
        <x:f>ROUND($B$8*$B$9^(A128-1),0)</x:f>
        <x:v>90971087</x:v>
      </x:c>
      <x:c r="E128" s="7" t="n">
        <x:f>ROUND($B$10*$B$11^(A128-1),0)</x:f>
        <x:v>538271350</x:v>
      </x:c>
      <x:c r="F128" s="7" t="n">
        <x:f>ROUND($B$12*$B$13^(A128-1)*$B$14^INT(A128/5),0)</x:f>
        <x:v>151992369</x:v>
      </x:c>
      <x:c r="G128" s="1"/>
      <x:c r="H128" s="1"/>
    </x:row>
    <x:row r="129" ht="21" customHeight="1">
      <x:c r="A129" s="1" t="n">
        <x:v>106</x:v>
      </x:c>
      <x:c r="B129" s="7" t="n">
        <x:f>ROUND($B$6*$B$7^(A129-1),0)</x:f>
        <x:v>498319400</x:v>
      </x:c>
      <x:c r="C129" s="7" t="n">
        <x:f>ROUND(B129*$B$15,0)</x:f>
        <x:v>2391933120</x:v>
      </x:c>
      <x:c r="D129" s="7" t="n">
        <x:f>ROUND($B$8*$B$9^(A129-1),0)</x:f>
        <x:v>105526461</x:v>
      </x:c>
      <x:c r="E129" s="7" t="n">
        <x:f>ROUND($B$10*$B$11^(A129-1),0)</x:f>
        <x:v>635160193</x:v>
      </x:c>
      <x:c r="F129" s="7" t="n">
        <x:f>ROUND($B$12*$B$13^(A129-1)*$B$14^INT(A129/5),0)</x:f>
        <x:v>174791225</x:v>
      </x:c>
      <x:c r="G129" s="1"/>
      <x:c r="H129" s="1"/>
    </x:row>
    <x:row r="130" ht="21" customHeight="1">
      <x:c r="A130" s="1" t="n">
        <x:v>107</x:v>
      </x:c>
      <x:c r="B130" s="7" t="n">
        <x:f>ROUND($B$6*$B$7^(A130-1),0)</x:f>
        <x:v>578050503</x:v>
      </x:c>
      <x:c r="C130" s="7" t="n">
        <x:f>ROUND(B130*$B$15,0)</x:f>
        <x:v>2774642414</x:v>
      </x:c>
      <x:c r="D130" s="7" t="n">
        <x:f>ROUND($B$8*$B$9^(A130-1),0)</x:f>
        <x:v>122410695</x:v>
      </x:c>
      <x:c r="E130" s="7" t="n">
        <x:f>ROUND($B$10*$B$11^(A130-1),0)</x:f>
        <x:v>749489028</x:v>
      </x:c>
      <x:c r="F130" s="7" t="n">
        <x:f>ROUND($B$12*$B$13^(A130-1)*$B$14^INT(A130/5),0)</x:f>
        <x:v>201009908</x:v>
      </x:c>
      <x:c r="G130" s="1"/>
      <x:c r="H130" s="1"/>
    </x:row>
    <x:row r="131" ht="21" customHeight="1">
      <x:c r="A131" s="1" t="n">
        <x:v>108</x:v>
      </x:c>
      <x:c r="B131" s="7" t="n">
        <x:f>ROUND($B$6*$B$7^(A131-1),0)</x:f>
        <x:v>670538584</x:v>
      </x:c>
      <x:c r="C131" s="7" t="n">
        <x:f>ROUND(B131*$B$15,0)</x:f>
        <x:v>3218585203</x:v>
      </x:c>
      <x:c r="D131" s="7" t="n">
        <x:f>ROUND($B$8*$B$9^(A131-1),0)</x:f>
        <x:v>141996406</x:v>
      </x:c>
      <x:c r="E131" s="7" t="n">
        <x:f>ROUND($B$10*$B$11^(A131-1),0)</x:f>
        <x:v>884397053</x:v>
      </x:c>
      <x:c r="F131" s="7" t="n">
        <x:f>ROUND($B$12*$B$13^(A131-1)*$B$14^INT(A131/5),0)</x:f>
        <x:v>231161395</x:v>
      </x:c>
      <x:c r="G131" s="1"/>
      <x:c r="H131" s="1"/>
    </x:row>
    <x:row r="132" ht="21" customHeight="1">
      <x:c r="A132" s="1" t="n">
        <x:v>109</x:v>
      </x:c>
      <x:c r="B132" s="7" t="n">
        <x:f>ROUND($B$6*$B$7^(A132-1),0)</x:f>
        <x:v>777824757</x:v>
      </x:c>
      <x:c r="C132" s="7" t="n">
        <x:f>ROUND(B132*$B$15,0)</x:f>
        <x:v>3733558834</x:v>
      </x:c>
      <x:c r="D132" s="7" t="n">
        <x:f>ROUND($B$8*$B$9^(A132-1),0)</x:f>
        <x:v>164715831</x:v>
      </x:c>
      <x:c r="E132" s="7" t="n">
        <x:f>ROUND($B$10*$B$11^(A132-1),0)</x:f>
        <x:v>1043588523</x:v>
      </x:c>
      <x:c r="F132" s="7" t="n">
        <x:f>ROUND($B$12*$B$13^(A132-1)*$B$14^INT(A132/5),0)</x:f>
        <x:v>265835604</x:v>
      </x:c>
      <x:c r="G132" s="1"/>
      <x:c r="H132" s="1"/>
    </x:row>
    <x:row r="133" ht="21" customHeight="1">
      <x:c r="A133" s="1" t="n">
        <x:v>110</x:v>
      </x:c>
      <x:c r="B133" s="7" t="n">
        <x:f>ROUND($B$6*$B$7^(A133-1),0)</x:f>
        <x:v>902276719</x:v>
      </x:c>
      <x:c r="C133" s="7" t="n">
        <x:f>ROUND(B133*$B$15,0)</x:f>
        <x:v>4330928251</x:v>
      </x:c>
      <x:c r="D133" s="7" t="n">
        <x:f>ROUND($B$8*$B$9^(A133-1),0)</x:f>
        <x:v>191070364</x:v>
      </x:c>
      <x:c r="E133" s="7" t="n">
        <x:f>ROUND($B$10*$B$11^(A133-1),0)</x:f>
        <x:v>1231434457</x:v>
      </x:c>
      <x:c r="F133" s="7" t="n">
        <x:f>ROUND($B$12*$B$13^(A133-1)*$B$14^INT(A133/5),0)</x:f>
        <x:v>336282039</x:v>
      </x:c>
      <x:c r="G133" s="1"/>
      <x:c r="H133" s="1"/>
    </x:row>
    <x:row r="134" ht="21" customHeight="1">
      <x:c r="A134" s="1" t="n">
        <x:v>111</x:v>
      </x:c>
      <x:c r="B134" s="7" t="n">
        <x:f>ROUND($B$6*$B$7^(A134-1),0)</x:f>
        <x:v>1046640994</x:v>
      </x:c>
      <x:c r="C134" s="7" t="n">
        <x:f>ROUND(B134*$B$15,0)</x:f>
        <x:v>5023876771</x:v>
      </x:c>
      <x:c r="D134" s="7" t="n">
        <x:f>ROUND($B$8*$B$9^(A134-1),0)</x:f>
        <x:v>221641622</x:v>
      </x:c>
      <x:c r="E134" s="7" t="n">
        <x:f>ROUND($B$10*$B$11^(A134-1),0)</x:f>
        <x:v>1453092659</x:v>
      </x:c>
      <x:c r="F134" s="7" t="n">
        <x:f>ROUND($B$12*$B$13^(A134-1)*$B$14^INT(A134/5),0)</x:f>
        <x:v>386724345</x:v>
      </x:c>
      <x:c r="G134" s="1"/>
      <x:c r="H134" s="1"/>
    </x:row>
    <x:row r="135" ht="21" customHeight="1">
      <x:c r="A135" s="1" t="n">
        <x:v>112</x:v>
      </x:c>
      <x:c r="B135" s="7" t="n">
        <x:f>ROUND($B$6*$B$7^(A135-1),0)</x:f>
        <x:v>1214103553</x:v>
      </x:c>
      <x:c r="C135" s="7" t="n">
        <x:f>ROUND(B135*$B$15,0)</x:f>
        <x:v>5827697054</x:v>
      </x:c>
      <x:c r="D135" s="7" t="n">
        <x:f>ROUND($B$8*$B$9^(A135-1),0)</x:f>
        <x:v>257104282</x:v>
      </x:c>
      <x:c r="E135" s="7" t="n">
        <x:f>ROUND($B$10*$B$11^(A135-1),0)</x:f>
        <x:v>1714649338</x:v>
      </x:c>
      <x:c r="F135" s="7" t="n">
        <x:f>ROUND($B$12*$B$13^(A135-1)*$B$14^INT(A135/5),0)</x:f>
        <x:v>444732997</x:v>
      </x:c>
      <x:c r="G135" s="1"/>
      <x:c r="H135" s="1"/>
    </x:row>
    <x:row r="136" ht="21" customHeight="1">
      <x:c r="A136" s="1" t="n">
        <x:v>113</x:v>
      </x:c>
      <x:c r="B136" s="7" t="n">
        <x:f>ROUND($B$6*$B$7^(A136-1),0)</x:f>
        <x:v>1408360121</x:v>
      </x:c>
      <x:c r="C136" s="7" t="n">
        <x:f>ROUND(B136*$B$15,0)</x:f>
        <x:v>6760128581</x:v>
      </x:c>
      <x:c r="D136" s="7" t="n">
        <x:f>ROUND($B$8*$B$9^(A136-1),0)</x:f>
        <x:v>298240967</x:v>
      </x:c>
      <x:c r="E136" s="7" t="n">
        <x:f>ROUND($B$10*$B$11^(A136-1),0)</x:f>
        <x:v>2023286219</x:v>
      </x:c>
      <x:c r="F136" s="7" t="n">
        <x:f>ROUND($B$12*$B$13^(A136-1)*$B$14^INT(A136/5),0)</x:f>
        <x:v>511442946</x:v>
      </x:c>
      <x:c r="G136" s="1"/>
      <x:c r="H136" s="1"/>
    </x:row>
    <x:row r="137" ht="21" customHeight="1">
      <x:c r="A137" s="1" t="n">
        <x:v>114</x:v>
      </x:c>
      <x:c r="B137" s="7" t="n">
        <x:f>ROUND($B$6*$B$7^(A137-1),0)</x:f>
        <x:v>1633697740</x:v>
      </x:c>
      <x:c r="C137" s="7" t="n">
        <x:f>ROUND(B137*$B$15,0)</x:f>
        <x:v>7841749152</x:v>
      </x:c>
      <x:c r="D137" s="7" t="n">
        <x:f>ROUND($B$8*$B$9^(A137-1),0)</x:f>
        <x:v>345959521</x:v>
      </x:c>
      <x:c r="E137" s="7" t="n">
        <x:f>ROUND($B$10*$B$11^(A137-1),0)</x:f>
        <x:v>2387477738</x:v>
      </x:c>
      <x:c r="F137" s="7" t="n">
        <x:f>ROUND($B$12*$B$13^(A137-1)*$B$14^INT(A137/5),0)</x:f>
        <x:v>588159388</x:v>
      </x:c>
      <x:c r="G137" s="1"/>
      <x:c r="H137" s="1"/>
    </x:row>
    <x:row r="138" ht="21" customHeight="1">
      <x:c r="A138" s="1" t="n">
        <x:v>115</x:v>
      </x:c>
      <x:c r="B138" s="7" t="n">
        <x:f>ROUND($B$6*$B$7^(A138-1),0)</x:f>
        <x:v>1895089379</x:v>
      </x:c>
      <x:c r="C138" s="7" t="n">
        <x:f>ROUND(B138*$B$15,0)</x:f>
        <x:v>9096429019</x:v>
      </x:c>
      <x:c r="D138" s="7" t="n">
        <x:f>ROUND($B$8*$B$9^(A138-1),0)</x:f>
        <x:v>401313045</x:v>
      </x:c>
      <x:c r="E138" s="7" t="n">
        <x:f>ROUND($B$10*$B$11^(A138-1),0)</x:f>
        <x:v>2817223731</x:v>
      </x:c>
      <x:c r="F138" s="7" t="n">
        <x:f>ROUND($B$12*$B$13^(A138-1)*$B$14^INT(A138/5),0)</x:f>
        <x:v>744021626</x:v>
      </x:c>
      <x:c r="G138" s="1"/>
      <x:c r="H138" s="1"/>
    </x:row>
    <x:row r="139" ht="21" customHeight="1">
      <x:c r="A139" s="1" t="n">
        <x:v>116</x:v>
      </x:c>
      <x:c r="B139" s="7" t="n">
        <x:f>ROUND($B$6*$B$7^(A139-1),0)</x:f>
        <x:v>2198303679</x:v>
      </x:c>
      <x:c r="C139" s="7" t="n">
        <x:f>ROUND(B139*$B$15,0)</x:f>
        <x:v>10551857659</x:v>
      </x:c>
      <x:c r="D139" s="7" t="n">
        <x:f>ROUND($B$8*$B$9^(A139-1),0)</x:f>
        <x:v>465523132</x:v>
      </x:c>
      <x:c r="E139" s="7" t="n">
        <x:f>ROUND($B$10*$B$11^(A139-1),0)</x:f>
        <x:v>3324324002</x:v>
      </x:c>
      <x:c r="F139" s="7" t="n">
        <x:f>ROUND($B$12*$B$13^(A139-1)*$B$14^INT(A139/5),0)</x:f>
        <x:v>855624870</x:v>
      </x:c>
      <x:c r="G139" s="1"/>
      <x:c r="H139" s="1"/>
    </x:row>
    <x:row r="140" ht="21" customHeight="1">
      <x:c r="A140" s="1" t="n">
        <x:v>117</x:v>
      </x:c>
      <x:c r="B140" s="7" t="n">
        <x:f>ROUND($B$6*$B$7^(A140-1),0)</x:f>
        <x:v>2550032268</x:v>
      </x:c>
      <x:c r="C140" s="7" t="n">
        <x:f>ROUND(B140*$B$15,0)</x:f>
        <x:v>12240154886</x:v>
      </x:c>
      <x:c r="D140" s="7" t="n">
        <x:f>ROUND($B$8*$B$9^(A140-1),0)</x:f>
        <x:v>540006833</x:v>
      </x:c>
      <x:c r="E140" s="7" t="n">
        <x:f>ROUND($B$10*$B$11^(A140-1),0)</x:f>
        <x:v>3922702323</x:v>
      </x:c>
      <x:c r="F140" s="7" t="n">
        <x:f>ROUND($B$12*$B$13^(A140-1)*$B$14^INT(A140/5),0)</x:f>
        <x:v>983968600</x:v>
      </x:c>
      <x:c r="G140" s="1"/>
      <x:c r="H140" s="1"/>
    </x:row>
    <x:row r="141" ht="21" customHeight="1">
      <x:c r="A141" s="1" t="n">
        <x:v>118</x:v>
      </x:c>
      <x:c r="B141" s="7" t="n">
        <x:f>ROUND($B$6*$B$7^(A141-1),0)</x:f>
        <x:v>2958037431</x:v>
      </x:c>
      <x:c r="C141" s="7" t="n">
        <x:f>ROUND(B141*$B$15,0)</x:f>
        <x:v>14198579669</x:v>
      </x:c>
      <x:c r="D141" s="7" t="n">
        <x:f>ROUND($B$8*$B$9^(A141-1),0)</x:f>
        <x:v>626407927</x:v>
      </x:c>
      <x:c r="E141" s="7" t="n">
        <x:f>ROUND($B$10*$B$11^(A141-1),0)</x:f>
        <x:v>4628788741</x:v>
      </x:c>
      <x:c r="F141" s="7" t="n">
        <x:f>ROUND($B$12*$B$13^(A141-1)*$B$14^INT(A141/5),0)</x:f>
        <x:v>1131563890</x:v>
      </x:c>
      <x:c r="G141" s="1"/>
      <x:c r="H141" s="1"/>
    </x:row>
    <x:row r="142" ht="21" customHeight="1">
      <x:c r="A142" s="1" t="n">
        <x:v>119</x:v>
      </x:c>
      <x:c r="B142" s="7" t="n">
        <x:f>ROUND($B$6*$B$7^(A142-1),0)</x:f>
        <x:v>3431323420</x:v>
      </x:c>
      <x:c r="C142" s="7" t="n">
        <x:f>ROUND(B142*$B$15,0)</x:f>
        <x:v>16470352416</x:v>
      </x:c>
      <x:c r="D142" s="7" t="n">
        <x:f>ROUND($B$8*$B$9^(A142-1),0)</x:f>
        <x:v>726633195</x:v>
      </x:c>
      <x:c r="E142" s="7" t="n">
        <x:f>ROUND($B$10*$B$11^(A142-1),0)</x:f>
        <x:v>5461970714</x:v>
      </x:c>
      <x:c r="F142" s="7" t="n">
        <x:f>ROUND($B$12*$B$13^(A142-1)*$B$14^INT(A142/5),0)</x:f>
        <x:v>1301298474</x:v>
      </x:c>
      <x:c r="G142" s="1"/>
      <x:c r="H142" s="1"/>
    </x:row>
    <x:row r="143" ht="21" customHeight="1">
      <x:c r="A143" s="1" t="n">
        <x:v>120</x:v>
      </x:c>
      <x:c r="B143" s="7" t="n">
        <x:f>ROUND($B$6*$B$7^(A143-1),0)</x:f>
        <x:v>3980335167</x:v>
      </x:c>
      <x:c r="C143" s="7" t="n">
        <x:f>ROUND(B143*$B$15,0)</x:f>
        <x:v>19105608802</x:v>
      </x:c>
      <x:c r="D143" s="7" t="n">
        <x:f>ROUND($B$8*$B$9^(A143-1),0)</x:f>
        <x:v>842894506</x:v>
      </x:c>
      <x:c r="E143" s="7" t="n">
        <x:f>ROUND($B$10*$B$11^(A143-1),0)</x:f>
        <x:v>6445125443</x:v>
      </x:c>
      <x:c r="F143" s="7" t="n">
        <x:f>ROUND($B$12*$B$13^(A143-1)*$B$14^INT(A143/5),0)</x:f>
        <x:v>1646142569</x:v>
      </x:c>
      <x:c r="G143" s="1"/>
      <x:c r="H143" s="1"/>
    </x:row>
    <x:row r="144" ht="21" customHeight="1">
      <x:c r="A144" s="1" t="n">
        <x:v>121</x:v>
      </x:c>
      <x:c r="B144" s="7" t="n">
        <x:f>ROUND($B$6*$B$7^(A144-1),0)</x:f>
        <x:v>4617188794</x:v>
      </x:c>
      <x:c r="C144" s="7" t="n">
        <x:f>ROUND(B144*$B$15,0)</x:f>
        <x:v>22162506211</x:v>
      </x:c>
      <x:c r="D144" s="7" t="n">
        <x:f>ROUND($B$8*$B$9^(A144-1),0)</x:f>
        <x:v>977757627</x:v>
      </x:c>
      <x:c r="E144" s="7" t="n">
        <x:f>ROUND($B$10*$B$11^(A144-1),0)</x:f>
        <x:v>7605248022</x:v>
      </x:c>
      <x:c r="F144" s="7" t="n">
        <x:f>ROUND($B$12*$B$13^(A144-1)*$B$14^INT(A144/5),0)</x:f>
        <x:v>1893063954</x:v>
      </x:c>
      <x:c r="G144" s="1"/>
      <x:c r="H144" s="1"/>
    </x:row>
    <x:row r="145" ht="21" customHeight="1">
      <x:c r="A145" s="1" t="n">
        <x:v>122</x:v>
      </x:c>
      <x:c r="B145" s="7" t="n">
        <x:f>ROUND($B$6*$B$7^(A145-1),0)</x:f>
        <x:v>5355939001</x:v>
      </x:c>
      <x:c r="C145" s="7" t="n">
        <x:f>ROUND(B145*$B$15,0)</x:f>
        <x:v>25708507205</x:v>
      </x:c>
      <x:c r="D145" s="7" t="n">
        <x:f>ROUND($B$8*$B$9^(A145-1),0)</x:f>
        <x:v>1134198847</x:v>
      </x:c>
      <x:c r="E145" s="7" t="n">
        <x:f>ROUND($B$10*$B$11^(A145-1),0)</x:f>
        <x:v>8974192667</x:v>
      </x:c>
      <x:c r="F145" s="7" t="n">
        <x:f>ROUND($B$12*$B$13^(A145-1)*$B$14^INT(A145/5),0)</x:f>
        <x:v>2177023548</x:v>
      </x:c>
      <x:c r="G145" s="1"/>
      <x:c r="H145" s="1"/>
    </x:row>
    <x:row r="146" ht="21" customHeight="1">
      <x:c r="A146" s="1" t="n">
        <x:v>123</x:v>
      </x:c>
      <x:c r="B146" s="7" t="n">
        <x:f>ROUND($B$6*$B$7^(A146-1),0)</x:f>
        <x:v>6212889241</x:v>
      </x:c>
      <x:c r="C146" s="7" t="n">
        <x:f>ROUND(B146*$B$15,0)</x:f>
        <x:v>29821868357</x:v>
      </x:c>
      <x:c r="D146" s="7" t="n">
        <x:f>ROUND($B$8*$B$9^(A146-1),0)</x:f>
        <x:v>1315670663</x:v>
      </x:c>
      <x:c r="E146" s="7" t="n">
        <x:f>ROUND($B$10*$B$11^(A146-1),0)</x:f>
        <x:v>10589547346</x:v>
      </x:c>
      <x:c r="F146" s="7" t="n">
        <x:f>ROUND($B$12*$B$13^(A146-1)*$B$14^INT(A146/5),0)</x:f>
        <x:v>2503577080</x:v>
      </x:c>
      <x:c r="G146" s="1"/>
      <x:c r="H146" s="1"/>
    </x:row>
    <x:row r="147" ht="21" customHeight="1">
      <x:c r="A147" s="1" t="n">
        <x:v>124</x:v>
      </x:c>
      <x:c r="B147" s="7" t="n">
        <x:f>ROUND($B$6*$B$7^(A147-1),0)</x:f>
        <x:v>7206951520</x:v>
      </x:c>
      <x:c r="C147" s="7" t="n">
        <x:f>ROUND(B147*$B$15,0)</x:f>
        <x:v>34593367296</x:v>
      </x:c>
      <x:c r="D147" s="7" t="n">
        <x:f>ROUND($B$8*$B$9^(A147-1),0)</x:f>
        <x:v>1526177969</x:v>
      </x:c>
      <x:c r="E147" s="7" t="n">
        <x:f>ROUND($B$10*$B$11^(A147-1),0)</x:f>
        <x:v>12495665869</x:v>
      </x:c>
      <x:c r="F147" s="7" t="n">
        <x:f>ROUND($B$12*$B$13^(A147-1)*$B$14^INT(A147/5),0)</x:f>
        <x:v>2879113642</x:v>
      </x:c>
      <x:c r="G147" s="1"/>
      <x:c r="H147" s="1"/>
    </x:row>
    <x:row r="148" ht="21" customHeight="1">
      <x:c r="A148" s="1" t="n">
        <x:v>125</x:v>
      </x:c>
      <x:c r="B148" s="7" t="n">
        <x:f>ROUND($B$6*$B$7^(A148-1),0)</x:f>
        <x:v>8360063763</x:v>
      </x:c>
      <x:c r="C148" s="7" t="n">
        <x:f>ROUND(B148*$B$15,0)</x:f>
        <x:v>40128306062</x:v>
      </x:c>
      <x:c r="D148" s="7" t="n">
        <x:f>ROUND($B$8*$B$9^(A148-1),0)</x:f>
        <x:v>1770366444</x:v>
      </x:c>
      <x:c r="E148" s="7" t="n">
        <x:f>ROUND($B$10*$B$11^(A148-1),0)</x:f>
        <x:v>14744885725</x:v>
      </x:c>
      <x:c r="F148" s="7" t="n">
        <x:f>ROUND($B$12*$B$13^(A148-1)*$B$14^INT(A148/5),0)</x:f>
        <x:v>3642078757</x:v>
      </x:c>
      <x:c r="G148" s="1"/>
      <x:c r="H148" s="1"/>
    </x:row>
    <x:row r="149" ht="21" customHeight="1">
      <x:c r="A149" s="1" t="n">
        <x:v>126</x:v>
      </x:c>
      <x:c r="B149" s="7" t="n">
        <x:f>ROUND($B$6*$B$7^(A149-1),0)</x:f>
        <x:v>9697673965</x:v>
      </x:c>
      <x:c r="C149" s="7" t="n">
        <x:f>ROUND(B149*$B$15,0)</x:f>
        <x:v>46548835032</x:v>
      </x:c>
      <x:c r="D149" s="7" t="n">
        <x:f>ROUND($B$8*$B$9^(A149-1),0)</x:f>
        <x:v>2053625075</x:v>
      </x:c>
      <x:c r="E149" s="7" t="n">
        <x:f>ROUND($B$10*$B$11^(A149-1),0)</x:f>
        <x:v>17398965156</x:v>
      </x:c>
      <x:c r="F149" s="7" t="n">
        <x:f>ROUND($B$12*$B$13^(A149-1)*$B$14^INT(A149/5),0)</x:f>
        <x:v>4188390570</x:v>
      </x:c>
      <x:c r="G149" s="1"/>
      <x:c r="H149" s="1"/>
    </x:row>
    <x:row r="150" ht="21" customHeight="1">
      <x:c r="A150" s="1" t="n">
        <x:v>127</x:v>
      </x:c>
      <x:c r="B150" s="7" t="n">
        <x:f>ROUND($B$6*$B$7^(A150-1),0)</x:f>
        <x:v>11249301799</x:v>
      </x:c>
      <x:c r="C150" s="7" t="n">
        <x:f>ROUND(B150*$B$15,0)</x:f>
        <x:v>53996648635</x:v>
      </x:c>
      <x:c r="D150" s="7" t="n">
        <x:f>ROUND($B$8*$B$9^(A150-1),0)</x:f>
        <x:v>2382205087</x:v>
      </x:c>
      <x:c r="E150" s="7" t="n">
        <x:f>ROUND($B$10*$B$11^(A150-1),0)</x:f>
        <x:v>20530778884</x:v>
      </x:c>
      <x:c r="F150" s="7" t="n">
        <x:f>ROUND($B$12*$B$13^(A150-1)*$B$14^INT(A150/5),0)</x:f>
        <x:v>4816649156</x:v>
      </x:c>
      <x:c r="G150" s="1"/>
      <x:c r="H150" s="1"/>
    </x:row>
    <x:row r="151" ht="21" customHeight="1">
      <x:c r="A151" s="1" t="n">
        <x:v>128</x:v>
      </x:c>
      <x:c r="B151" s="7" t="n">
        <x:f>ROUND($B$6*$B$7^(A151-1),0)</x:f>
        <x:v>13049190087</x:v>
      </x:c>
      <x:c r="C151" s="7" t="n">
        <x:f>ROUND(B151*$B$15,0)</x:f>
        <x:v>62636112418</x:v>
      </x:c>
      <x:c r="D151" s="7" t="n">
        <x:f>ROUND($B$8*$B$9^(A151-1),0)</x:f>
        <x:v>2763357901</x:v>
      </x:c>
      <x:c r="E151" s="7" t="n">
        <x:f>ROUND($B$10*$B$11^(A151-1),0)</x:f>
        <x:v>24226319083</x:v>
      </x:c>
      <x:c r="F151" s="7" t="n">
        <x:f>ROUND($B$12*$B$13^(A151-1)*$B$14^INT(A151/5),0)</x:f>
        <x:v>5539146529</x:v>
      </x:c>
      <x:c r="G151" s="1"/>
      <x:c r="H151" s="1"/>
    </x:row>
    <x:row r="152" ht="21" customHeight="1">
      <x:c r="A152" s="1" t="n">
        <x:v>129</x:v>
      </x:c>
      <x:c r="B152" s="7" t="n">
        <x:f>ROUND($B$6*$B$7^(A152-1),0)</x:f>
        <x:v>15137060501</x:v>
      </x:c>
      <x:c r="C152" s="7" t="n">
        <x:f>ROUND(B152*$B$15,0)</x:f>
        <x:v>72657890405</x:v>
      </x:c>
      <x:c r="D152" s="7" t="n">
        <x:f>ROUND($B$8*$B$9^(A152-1),0)</x:f>
        <x:v>3205495165</x:v>
      </x:c>
      <x:c r="E152" s="7" t="n">
        <x:f>ROUND($B$10*$B$11^(A152-1),0)</x:f>
        <x:v>28587056518</x:v>
      </x:c>
      <x:c r="F152" s="7" t="n">
        <x:f>ROUND($B$12*$B$13^(A152-1)*$B$14^INT(A152/5),0)</x:f>
        <x:v>6370018509</x:v>
      </x:c>
      <x:c r="G152" s="1"/>
      <x:c r="H152" s="1"/>
    </x:row>
    <x:row r="153" ht="21" customHeight="1">
      <x:c r="A153" s="1" t="n">
        <x:v>130</x:v>
      </x:c>
      <x:c r="B153" s="7" t="n">
        <x:f>ROUND($B$6*$B$7^(A153-1),0)</x:f>
        <x:v>17558990181</x:v>
      </x:c>
      <x:c r="C153" s="7" t="n">
        <x:f>ROUND(B153*$B$15,0)</x:f>
        <x:v>84283152869</x:v>
      </x:c>
      <x:c r="D153" s="7" t="n">
        <x:f>ROUND($B$8*$B$9^(A153-1),0)</x:f>
        <x:v>3718374391</x:v>
      </x:c>
      <x:c r="E153" s="7" t="n">
        <x:f>ROUND($B$10*$B$11^(A153-1),0)</x:f>
        <x:v>33732726691</x:v>
      </x:c>
      <x:c r="F153" s="7" t="n">
        <x:f>ROUND($B$12*$B$13^(A153-1)*$B$14^INT(A153/5),0)</x:f>
        <x:v>8058073413</x:v>
      </x:c>
      <x:c r="G153" s="1"/>
      <x:c r="H153" s="1"/>
    </x:row>
    <x:row r="154" ht="21" customHeight="1">
      <x:c r="A154" s="1" t="n">
        <x:v>131</x:v>
      </x:c>
      <x:c r="B154" s="7" t="n">
        <x:f>ROUND($B$6*$B$7^(A154-1),0)</x:f>
        <x:v>20368428610</x:v>
      </x:c>
      <x:c r="C154" s="7" t="n">
        <x:f>ROUND(B154*$B$15,0)</x:f>
        <x:v>97768457328</x:v>
      </x:c>
      <x:c r="D154" s="7" t="n">
        <x:f>ROUND($B$8*$B$9^(A154-1),0)</x:f>
        <x:v>4313314294</x:v>
      </x:c>
      <x:c r="E154" s="7" t="n">
        <x:f>ROUND($B$10*$B$11^(A154-1),0)</x:f>
        <x:v>39804617495</x:v>
      </x:c>
      <x:c r="F154" s="7" t="n">
        <x:f>ROUND($B$12*$B$13^(A154-1)*$B$14^INT(A154/5),0)</x:f>
        <x:v>9266784425</x:v>
      </x:c>
      <x:c r="G154" s="1"/>
      <x:c r="H154" s="1"/>
    </x:row>
    <x:row r="155" ht="21" customHeight="1">
      <x:c r="A155" s="1" t="n">
        <x:v>132</x:v>
      </x:c>
      <x:c r="B155" s="7" t="n">
        <x:f>ROUND($B$6*$B$7^(A155-1),0)</x:f>
        <x:v>23627377188</x:v>
      </x:c>
      <x:c r="C155" s="7" t="n">
        <x:f>ROUND(B155*$B$15,0)</x:f>
        <x:v>113411410502</x:v>
      </x:c>
      <x:c r="D155" s="7" t="n">
        <x:f>ROUND($B$8*$B$9^(A155-1),0)</x:f>
        <x:v>5003444581</x:v>
      </x:c>
      <x:c r="E155" s="7" t="n">
        <x:f>ROUND($B$10*$B$11^(A155-1),0)</x:f>
        <x:v>46969448645</x:v>
      </x:c>
      <x:c r="F155" s="7" t="n">
        <x:f>ROUND($B$12*$B$13^(A155-1)*$B$14^INT(A155/5),0)</x:f>
        <x:v>10656802089</x:v>
      </x:c>
      <x:c r="G155" s="1"/>
      <x:c r="H155" s="1"/>
    </x:row>
    <x:row r="156" ht="21" customHeight="1">
      <x:c r="A156" s="1" t="n">
        <x:v>133</x:v>
      </x:c>
      <x:c r="B156" s="7" t="n">
        <x:f>ROUND($B$6*$B$7^(A156-1),0)</x:f>
        <x:v>27407757538</x:v>
      </x:c>
      <x:c r="C156" s="7" t="n">
        <x:f>ROUND(B156*$B$15,0)</x:f>
        <x:v>131557236182</x:v>
      </x:c>
      <x:c r="D156" s="7" t="n">
        <x:f>ROUND($B$8*$B$9^(A156-1),0)</x:f>
        <x:v>5803995714</x:v>
      </x:c>
      <x:c r="E156" s="7" t="n">
        <x:f>ROUND($B$10*$B$11^(A156-1),0)</x:f>
        <x:v>55423949401</x:v>
      </x:c>
      <x:c r="F156" s="7" t="n">
        <x:f>ROUND($B$12*$B$13^(A156-1)*$B$14^INT(A156/5),0)</x:f>
        <x:v>12255322403</x:v>
      </x:c>
      <x:c r="G156" s="1"/>
      <x:c r="H156" s="1"/>
    </x:row>
    <x:row r="157" ht="21" customHeight="1">
      <x:c r="A157" s="1" t="n">
        <x:v>134</x:v>
      </x:c>
      <x:c r="B157" s="7" t="n">
        <x:f>ROUND($B$6*$B$7^(A157-1),0)</x:f>
        <x:v>31792998744</x:v>
      </x:c>
      <x:c r="C157" s="7" t="n">
        <x:f>ROUND(B157*$B$15,0)</x:f>
        <x:v>152606393971</x:v>
      </x:c>
      <x:c r="D157" s="7" t="n">
        <x:f>ROUND($B$8*$B$9^(A157-1),0)</x:f>
        <x:v>6732635028</x:v>
      </x:c>
      <x:c r="E157" s="7" t="n">
        <x:f>ROUND($B$10*$B$11^(A157-1),0)</x:f>
        <x:v>65400260293</x:v>
      </x:c>
      <x:c r="F157" s="7" t="n">
        <x:f>ROUND($B$12*$B$13^(A157-1)*$B$14^INT(A157/5),0)</x:f>
        <x:v>14093620763</x:v>
      </x:c>
      <x:c r="G157" s="1"/>
      <x:c r="H157" s="1"/>
    </x:row>
    <x:row r="158" ht="21" customHeight="1">
      <x:c r="A158" s="1" t="n">
        <x:v>135</x:v>
      </x:c>
      <x:c r="B158" s="7" t="n">
        <x:f>ROUND($B$6*$B$7^(A158-1),0)</x:f>
        <x:v>36879878543</x:v>
      </x:c>
      <x:c r="C158" s="7" t="n">
        <x:f>ROUND(B158*$B$15,0)</x:f>
        <x:v>177023417006</x:v>
      </x:c>
      <x:c r="D158" s="7" t="n">
        <x:f>ROUND($B$8*$B$9^(A158-1),0)</x:f>
        <x:v>7809856633</x:v>
      </x:c>
      <x:c r="E158" s="7" t="n">
        <x:f>ROUND($B$10*$B$11^(A158-1),0)</x:f>
        <x:v>77172307145</x:v>
      </x:c>
      <x:c r="F158" s="7" t="n">
        <x:f>ROUND($B$12*$B$13^(A158-1)*$B$14^INT(A158/5),0)</x:f>
        <x:v>17828430265</x:v>
      </x:c>
      <x:c r="G158" s="1"/>
      <x:c r="H158" s="1"/>
    </x:row>
    <x:row r="159" ht="21" customHeight="1">
      <x:c r="A159" s="1" t="n">
        <x:v>136</x:v>
      </x:c>
      <x:c r="B159" s="7" t="n">
        <x:f>ROUND($B$6*$B$7^(A159-1),0)</x:f>
        <x:v>42780659110</x:v>
      </x:c>
      <x:c r="C159" s="7" t="n">
        <x:f>ROUND(B159*$B$15,0)</x:f>
        <x:v>205347163728</x:v>
      </x:c>
      <x:c r="D159" s="7" t="n">
        <x:f>ROUND($B$8*$B$9^(A159-1),0)</x:f>
        <x:v>9059433694</x:v>
      </x:c>
      <x:c r="E159" s="7" t="n">
        <x:f>ROUND($B$10*$B$11^(A159-1),0)</x:f>
        <x:v>91063322432</x:v>
      </x:c>
      <x:c r="F159" s="7" t="n">
        <x:f>ROUND($B$12*$B$13^(A159-1)*$B$14^INT(A159/5),0)</x:f>
        <x:v>20502694805</x:v>
      </x:c>
      <x:c r="G159" s="1"/>
      <x:c r="H159" s="1"/>
    </x:row>
    <x:row r="160" ht="21" customHeight="1">
      <x:c r="A160" s="1" t="n">
        <x:v>137</x:v>
      </x:c>
      <x:c r="B160" s="7" t="n">
        <x:f>ROUND($B$6*$B$7^(A160-1),0)</x:f>
        <x:v>49625564568</x:v>
      </x:c>
      <x:c r="C160" s="7" t="n">
        <x:f>ROUND(B160*$B$15,0)</x:f>
        <x:v>238202709926</x:v>
      </x:c>
      <x:c r="D160" s="7" t="n">
        <x:f>ROUND($B$8*$B$9^(A160-1),0)</x:f>
        <x:v>10508943085</x:v>
      </x:c>
      <x:c r="E160" s="7" t="n">
        <x:f>ROUND($B$10*$B$11^(A160-1),0)</x:f>
        <x:v>107454720469</x:v>
      </x:c>
      <x:c r="F160" s="7" t="n">
        <x:f>ROUND($B$12*$B$13^(A160-1)*$B$14^INT(A160/5),0)</x:f>
        <x:v>23578099026</x:v>
      </x:c>
      <x:c r="G160" s="1"/>
      <x:c r="H160" s="1"/>
    </x:row>
    <x:row r="161" ht="21" customHeight="1">
      <x:c r="A161" s="1" t="n">
        <x:v>138</x:v>
      </x:c>
      <x:c r="B161" s="7" t="n">
        <x:f>ROUND($B$6*$B$7^(A161-1),0)</x:f>
        <x:v>57565654899</x:v>
      </x:c>
      <x:c r="C161" s="7" t="n">
        <x:f>ROUND(B161*$B$15,0)</x:f>
        <x:v>276315143515</x:v>
      </x:c>
      <x:c r="D161" s="7" t="n">
        <x:f>ROUND($B$8*$B$9^(A161-1),0)</x:f>
        <x:v>12190373979</x:v>
      </x:c>
      <x:c r="E161" s="7" t="n">
        <x:f>ROUND($B$10*$B$11^(A161-1),0)</x:f>
        <x:v>126796570154</x:v>
      </x:c>
      <x:c r="F161" s="7" t="n">
        <x:f>ROUND($B$12*$B$13^(A161-1)*$B$14^INT(A161/5),0)</x:f>
        <x:v>27114813880</x:v>
      </x:c>
      <x:c r="G161" s="1"/>
      <x:c r="H161" s="1"/>
    </x:row>
    <x:row r="162" ht="21" customHeight="1">
      <x:c r="A162" s="1" t="n">
        <x:v>139</x:v>
      </x:c>
      <x:c r="B162" s="7" t="n">
        <x:f>ROUND($B$6*$B$7^(A162-1),0)</x:f>
        <x:v>66776159683</x:v>
      </x:c>
      <x:c r="C162" s="7" t="n">
        <x:f>ROUND(B162*$B$15,0)</x:f>
        <x:v>320525566478</x:v>
      </x:c>
      <x:c r="D162" s="7" t="n">
        <x:f>ROUND($B$8*$B$9^(A162-1),0)</x:f>
        <x:v>14140833815</x:v>
      </x:c>
      <x:c r="E162" s="7" t="n">
        <x:f>ROUND($B$10*$B$11^(A162-1),0)</x:f>
        <x:v>149619952782</x:v>
      </x:c>
      <x:c r="F162" s="7" t="n">
        <x:f>ROUND($B$12*$B$13^(A162-1)*$B$14^INT(A162/5),0)</x:f>
        <x:v>31182035962</x:v>
      </x:c>
      <x:c r="G162" s="1"/>
      <x:c r="H162" s="1"/>
    </x:row>
    <x:row r="163" ht="21" customHeight="1">
      <x:c r="A163" s="1" t="n">
        <x:v>140</x:v>
      </x:c>
      <x:c r="B163" s="7" t="n">
        <x:f>ROUND($B$6*$B$7^(A163-1),0)</x:f>
        <x:v>77460345232</x:v>
      </x:c>
      <x:c r="C163" s="7" t="n">
        <x:f>ROUND(B163*$B$15,0)</x:f>
        <x:v>371809657114</x:v>
      </x:c>
      <x:c r="D163" s="7" t="n">
        <x:f>ROUND($B$8*$B$9^(A163-1),0)</x:f>
        <x:v>16403367226</x:v>
      </x:c>
      <x:c r="E163" s="7" t="n">
        <x:f>ROUND($B$10*$B$11^(A163-1),0)</x:f>
        <x:v>176551544282</x:v>
      </x:c>
      <x:c r="F163" s="7" t="n">
        <x:f>ROUND($B$12*$B$13^(A163-1)*$B$14^INT(A163/5),0)</x:f>
        <x:v>39445275491</x:v>
      </x:c>
      <x:c r="G163" s="1"/>
      <x:c r="H163" s="1"/>
    </x:row>
    <x:row r="164" ht="21" customHeight="1">
      <x:c r="A164" s="1" t="n">
        <x:v>141</x:v>
      </x:c>
      <x:c r="B164" s="7" t="n">
        <x:f>ROUND($B$6*$B$7^(A164-1),0)</x:f>
        <x:v>89854000469</x:v>
      </x:c>
      <x:c r="C164" s="7" t="n">
        <x:f>ROUND(B164*$B$15,0)</x:f>
        <x:v>431299202251</x:v>
      </x:c>
      <x:c r="D164" s="7" t="n">
        <x:f>ROUND($B$8*$B$9^(A164-1),0)</x:f>
        <x:v>19027905982</x:v>
      </x:c>
      <x:c r="E164" s="7" t="n">
        <x:f>ROUND($B$10*$B$11^(A164-1),0)</x:f>
        <x:v>208330822253</x:v>
      </x:c>
      <x:c r="F164" s="7" t="n">
        <x:f>ROUND($B$12*$B$13^(A164-1)*$B$14^INT(A164/5),0)</x:f>
        <x:v>45362066815</x:v>
      </x:c>
      <x:c r="G164" s="1"/>
      <x:c r="H164" s="1"/>
    </x:row>
    <x:row r="165" ht="21" customHeight="1">
      <x:c r="A165" s="1" t="n">
        <x:v>142</x:v>
      </x:c>
      <x:c r="B165" s="7" t="n">
        <x:f>ROUND($B$6*$B$7^(A165-1),0)</x:f>
        <x:v>104230640544</x:v>
      </x:c>
      <x:c r="C165" s="7" t="n">
        <x:f>ROUND(B165*$B$15,0)</x:f>
        <x:v>500307074611</x:v>
      </x:c>
      <x:c r="D165" s="7" t="n">
        <x:f>ROUND($B$8*$B$9^(A165-1),0)</x:f>
        <x:v>22072370939</x:v>
      </x:c>
      <x:c r="E165" s="7" t="n">
        <x:f>ROUND($B$10*$B$11^(A165-1),0)</x:f>
        <x:v>245830370259</x:v>
      </x:c>
      <x:c r="F165" s="7" t="n">
        <x:f>ROUND($B$12*$B$13^(A165-1)*$B$14^INT(A165/5),0)</x:f>
        <x:v>52166376838</x:v>
      </x:c>
      <x:c r="G165" s="1"/>
      <x:c r="H165" s="1"/>
    </x:row>
    <x:row r="166" ht="21" customHeight="1">
      <x:c r="A166" s="1" t="n">
        <x:v>143</x:v>
      </x:c>
      <x:c r="B166" s="7" t="n">
        <x:f>ROUND($B$6*$B$7^(A166-1),0)</x:f>
        <x:v>120907543031</x:v>
      </x:c>
      <x:c r="C166" s="7" t="n">
        <x:f>ROUND(B166*$B$15,0)</x:f>
        <x:v>580356206549</x:v>
      </x:c>
      <x:c r="D166" s="7" t="n">
        <x:f>ROUND($B$8*$B$9^(A166-1),0)</x:f>
        <x:v>25603950289</x:v>
      </x:c>
      <x:c r="E166" s="7" t="n">
        <x:f>ROUND($B$10*$B$11^(A166-1),0)</x:f>
        <x:v>290079836905</x:v>
      </x:c>
      <x:c r="F166" s="7" t="n">
        <x:f>ROUND($B$12*$B$13^(A166-1)*$B$14^INT(A166/5),0)</x:f>
        <x:v>59991333363</x:v>
      </x:c>
      <x:c r="G166" s="1"/>
      <x:c r="H166" s="1"/>
    </x:row>
    <x:row r="167" ht="21" customHeight="1">
      <x:c r="A167" s="1" t="n">
        <x:v>144</x:v>
      </x:c>
      <x:c r="B167" s="7" t="n">
        <x:f>ROUND($B$6*$B$7^(A167-1),0)</x:f>
        <x:v>140252749916</x:v>
      </x:c>
      <x:c r="C167" s="7" t="n">
        <x:f>ROUND(B167*$B$15,0)</x:f>
        <x:v>673213199597</x:v>
      </x:c>
      <x:c r="D167" s="7" t="n">
        <x:f>ROUND($B$8*$B$9^(A167-1),0)</x:f>
        <x:v>29700582335</x:v>
      </x:c>
      <x:c r="E167" s="7" t="n">
        <x:f>ROUND($B$10*$B$11^(A167-1),0)</x:f>
        <x:v>342294207548</x:v>
      </x:c>
      <x:c r="F167" s="7" t="n">
        <x:f>ROUND($B$12*$B$13^(A167-1)*$B$14^INT(A167/5),0)</x:f>
        <x:v>68990033368</x:v>
      </x:c>
      <x:c r="G167" s="1"/>
      <x:c r="H167" s="1"/>
    </x:row>
    <x:row r="168" ht="21" customHeight="1">
      <x:c r="A168" s="1" t="n">
        <x:v>145</x:v>
      </x:c>
      <x:c r="B168" s="7" t="n">
        <x:f>ROUND($B$6*$B$7^(A168-1),0)</x:f>
        <x:v>162693189903</x:v>
      </x:c>
      <x:c r="C168" s="7" t="n">
        <x:f>ROUND(B168*$B$15,0)</x:f>
        <x:v>780927311534</x:v>
      </x:c>
      <x:c r="D168" s="7" t="n">
        <x:f>ROUND($B$8*$B$9^(A168-1),0)</x:f>
        <x:v>34452675509</x:v>
      </x:c>
      <x:c r="E168" s="7" t="n">
        <x:f>ROUND($B$10*$B$11^(A168-1),0)</x:f>
        <x:v>403907164907</x:v>
      </x:c>
      <x:c r="F168" s="7" t="n">
        <x:f>ROUND($B$12*$B$13^(A168-1)*$B$14^INT(A168/5),0)</x:f>
        <x:v>87272392210</x:v>
      </x:c>
      <x:c r="G168" s="1"/>
      <x:c r="H168" s="1"/>
    </x:row>
    <x:row r="169" ht="21" customHeight="1">
      <x:c r="A169" s="1" t="n">
        <x:v>146</x:v>
      </x:c>
      <x:c r="B169" s="7" t="n">
        <x:f>ROUND($B$6*$B$7^(A169-1),0)</x:f>
        <x:v>188724100287</x:v>
      </x:c>
      <x:c r="C169" s="7" t="n">
        <x:f>ROUND(B169*$B$15,0)</x:f>
        <x:v>905875681378</x:v>
      </x:c>
      <x:c r="D169" s="7" t="n">
        <x:f>ROUND($B$8*$B$9^(A169-1),0)</x:f>
        <x:v>39965103590</x:v>
      </x:c>
      <x:c r="E169" s="7" t="n">
        <x:f>ROUND($B$10*$B$11^(A169-1),0)</x:f>
        <x:v>476610454590</x:v>
      </x:c>
      <x:c r="F169" s="7" t="n">
        <x:f>ROUND($B$12*$B$13^(A169-1)*$B$14^INT(A169/5),0)</x:f>
        <x:v>100363251042</x:v>
      </x:c>
      <x:c r="G169" s="1"/>
      <x:c r="H169" s="1"/>
    </x:row>
    <x:row r="170" ht="21" customHeight="1">
      <x:c r="A170" s="1" t="n">
        <x:v>147</x:v>
      </x:c>
      <x:c r="B170" s="7" t="n">
        <x:f>ROUND($B$6*$B$7^(A170-1),0)</x:f>
        <x:v>218919956333</x:v>
      </x:c>
      <x:c r="C170" s="7" t="n">
        <x:f>ROUND(B170*$B$15,0)</x:f>
        <x:v>1050815790398</x:v>
      </x:c>
      <x:c r="D170" s="7" t="n">
        <x:f>ROUND($B$8*$B$9^(A170-1),0)</x:f>
        <x:v>46359520165</x:v>
      </x:c>
      <x:c r="E170" s="7" t="n">
        <x:f>ROUND($B$10*$B$11^(A170-1),0)</x:f>
        <x:v>562400336416</x:v>
      </x:c>
      <x:c r="F170" s="7" t="n">
        <x:f>ROUND($B$12*$B$13^(A170-1)*$B$14^INT(A170/5),0)</x:f>
        <x:v>115417738698</x:v>
      </x:c>
      <x:c r="G170" s="1"/>
      <x:c r="H170" s="1"/>
    </x:row>
    <x:row r="171" ht="21" customHeight="1">
      <x:c r="A171" s="1" t="n">
        <x:v>148</x:v>
      </x:c>
      <x:c r="B171" s="7" t="n">
        <x:f>ROUND($B$6*$B$7^(A171-1),0)</x:f>
        <x:v>253947149347</x:v>
      </x:c>
      <x:c r="C171" s="7" t="n">
        <x:f>ROUND(B171*$B$15,0)</x:f>
        <x:v>1218946316866</x:v>
      </x:c>
      <x:c r="D171" s="7" t="n">
        <x:f>ROUND($B$8*$B$9^(A171-1),0)</x:f>
        <x:v>53777043391</x:v>
      </x:c>
      <x:c r="E171" s="7" t="n">
        <x:f>ROUND($B$10*$B$11^(A171-1),0)</x:f>
        <x:v>663632396971</x:v>
      </x:c>
      <x:c r="F171" s="7" t="n">
        <x:f>ROUND($B$12*$B$13^(A171-1)*$B$14^INT(A171/5),0)</x:f>
        <x:v>132730399502</x:v>
      </x:c>
      <x:c r="G171" s="1"/>
      <x:c r="H171" s="1"/>
    </x:row>
    <x:row r="172" ht="21" customHeight="1">
      <x:c r="A172" s="1" t="n">
        <x:v>149</x:v>
      </x:c>
      <x:c r="B172" s="7" t="n">
        <x:f>ROUND($B$6*$B$7^(A172-1),0)</x:f>
        <x:v>294578693242</x:v>
      </x:c>
      <x:c r="C172" s="7" t="n">
        <x:f>ROUND(B172*$B$15,0)</x:f>
        <x:v>1413977727562</x:v>
      </x:c>
      <x:c r="D172" s="7" t="n">
        <x:f>ROUND($B$8*$B$9^(A172-1),0)</x:f>
        <x:v>62381370334</x:v>
      </x:c>
      <x:c r="E172" s="7" t="n">
        <x:f>ROUND($B$10*$B$11^(A172-1),0)</x:f>
        <x:v>783086228426</x:v>
      </x:c>
      <x:c r="F172" s="7" t="n">
        <x:f>ROUND($B$12*$B$13^(A172-1)*$B$14^INT(A172/5),0)</x:f>
        <x:v>152639959428</x:v>
      </x:c>
      <x:c r="G172" s="1"/>
      <x:c r="H172" s="1"/>
    </x:row>
    <x:row r="173" ht="21" customHeight="1">
      <x:c r="A173" s="1" t="n">
        <x:v>150</x:v>
      </x:c>
      <x:c r="B173" s="7" t="n">
        <x:f>ROUND($B$6*$B$7^(A173-1),0)</x:f>
        <x:v>341711284161</x:v>
      </x:c>
      <x:c r="C173" s="7" t="n">
        <x:f>ROUND(B173*$B$15,0)</x:f>
        <x:v>1640214163973</x:v>
      </x:c>
      <x:c r="D173" s="7" t="n">
        <x:f>ROUND($B$8*$B$9^(A173-1),0)</x:f>
        <x:v>72362389587</x:v>
      </x:c>
      <x:c r="E173" s="7" t="n">
        <x:f>ROUND($B$10*$B$11^(A173-1),0)</x:f>
        <x:v>924041749542</x:v>
      </x:c>
      <x:c r="F173" s="7" t="n">
        <x:f>ROUND($B$12*$B$13^(A173-1)*$B$14^INT(A173/5),0)</x:f>
        <x:v>193089548676</x:v>
      </x:c>
      <x:c r="G173" s="1"/>
      <x:c r="H173" s="1"/>
    </x:row>
    <x:row r="174" ht="21" customHeight="1">
      <x:c r="A174" s="1" t="n">
        <x:v>151</x:v>
      </x:c>
      <x:c r="B174" s="7" t="n">
        <x:f>ROUND($B$6*$B$7^(A174-1),0)</x:f>
        <x:v>396385089627</x:v>
      </x:c>
      <x:c r="C174" s="7" t="n">
        <x:f>ROUND(B174*$B$15,0)</x:f>
        <x:v>1902648430210</x:v>
      </x:c>
      <x:c r="D174" s="7" t="n">
        <x:f>ROUND($B$8*$B$9^(A174-1),0)</x:f>
        <x:v>83940371921</x:v>
      </x:c>
      <x:c r="E174" s="7" t="n">
        <x:f>ROUND($B$10*$B$11^(A174-1),0)</x:f>
        <x:v>1090369264460</x:v>
      </x:c>
      <x:c r="F174" s="7" t="n">
        <x:f>ROUND($B$12*$B$13^(A174-1)*$B$14^INT(A174/5),0)</x:f>
        <x:v>222052980978</x:v>
      </x:c>
      <x:c r="G174" s="1"/>
      <x:c r="H174" s="1"/>
    </x:row>
    <x:row r="175" ht="21" customHeight="1">
      <x:c r="A175" s="1" t="n">
        <x:v>152</x:v>
      </x:c>
      <x:c r="B175" s="7" t="n">
        <x:f>ROUND($B$6*$B$7^(A175-1),0)</x:f>
        <x:v>459806703967</x:v>
      </x:c>
      <x:c r="C175" s="7" t="n">
        <x:f>ROUND(B175*$B$15,0)</x:f>
        <x:v>2207072179042</x:v>
      </x:c>
      <x:c r="D175" s="7" t="n">
        <x:f>ROUND($B$8*$B$9^(A175-1),0)</x:f>
        <x:v>97370831428</x:v>
      </x:c>
      <x:c r="E175" s="7" t="n">
        <x:f>ROUND($B$10*$B$11^(A175-1),0)</x:f>
        <x:v>1286635732063</x:v>
      </x:c>
      <x:c r="F175" s="7" t="n">
        <x:f>ROUND($B$12*$B$13^(A175-1)*$B$14^INT(A175/5),0)</x:f>
        <x:v>255360928124</x:v>
      </x:c>
      <x:c r="G175" s="1"/>
      <x:c r="H175" s="1"/>
    </x:row>
    <x:row r="176" ht="21" customHeight="1">
      <x:c r="A176" s="1" t="n">
        <x:v>153</x:v>
      </x:c>
      <x:c r="B176" s="7" t="n">
        <x:f>ROUND($B$6*$B$7^(A176-1),0)</x:f>
        <x:v>533375776602</x:v>
      </x:c>
      <x:c r="C176" s="7" t="n">
        <x:f>ROUND(B176*$B$15,0)</x:f>
        <x:v>2560203727690</x:v>
      </x:c>
      <x:c r="D176" s="7" t="n">
        <x:f>ROUND($B$8*$B$9^(A176-1),0)</x:f>
        <x:v>112950164457</x:v>
      </x:c>
      <x:c r="E176" s="7" t="n">
        <x:f>ROUND($B$10*$B$11^(A176-1),0)</x:f>
        <x:v>1518230163834</x:v>
      </x:c>
      <x:c r="F176" s="7" t="n">
        <x:f>ROUND($B$12*$B$13^(A176-1)*$B$14^INT(A176/5),0)</x:f>
        <x:v>293665067343</x:v>
      </x:c>
      <x:c r="G176" s="1"/>
      <x:c r="H176" s="1"/>
    </x:row>
    <x:row r="177" ht="21" customHeight="1">
      <x:c r="A177" s="1" t="n">
        <x:v>154</x:v>
      </x:c>
      <x:c r="B177" s="7" t="n">
        <x:f>ROUND($B$6*$B$7^(A177-1),0)</x:f>
        <x:v>618715900858</x:v>
      </x:c>
      <x:c r="C177" s="7" t="n">
        <x:f>ROUND(B177*$B$15,0)</x:f>
        <x:v>2969836324118</x:v>
      </x:c>
      <x:c r="D177" s="7" t="n">
        <x:f>ROUND($B$8*$B$9^(A177-1),0)</x:f>
        <x:v>131022190770</x:v>
      </x:c>
      <x:c r="E177" s="7" t="n">
        <x:f>ROUND($B$10*$B$11^(A177-1),0)</x:f>
        <x:v>1791511593324</x:v>
      </x:c>
      <x:c r="F177" s="7" t="n">
        <x:f>ROUND($B$12*$B$13^(A177-1)*$B$14^INT(A177/5),0)</x:f>
        <x:v>337714827444</x:v>
      </x:c>
      <x:c r="G177" s="1"/>
      <x:c r="H177" s="1"/>
    </x:row>
    <x:row r="178" ht="21" customHeight="1">
      <x:c r="A178" s="1" t="n">
        <x:v>155</x:v>
      </x:c>
      <x:c r="B178" s="7" t="n">
        <x:f>ROUND($B$6*$B$7^(A178-1),0)</x:f>
        <x:v>717710444995</x:v>
      </x:c>
      <x:c r="C178" s="7" t="n">
        <x:f>ROUND(B178*$B$15,0)</x:f>
        <x:v>3445010135976</x:v>
      </x:c>
      <x:c r="D178" s="7" t="n">
        <x:f>ROUND($B$8*$B$9^(A178-1),0)</x:f>
        <x:v>151985741293</x:v>
      </x:c>
      <x:c r="E178" s="7" t="n">
        <x:f>ROUND($B$10*$B$11^(A178-1),0)</x:f>
        <x:v>2113983680122</x:v>
      </x:c>
      <x:c r="F178" s="7" t="n">
        <x:f>ROUND($B$12*$B$13^(A178-1)*$B$14^INT(A178/5),0)</x:f>
        <x:v>427209256717</x:v>
      </x:c>
      <x:c r="G178" s="1"/>
      <x:c r="H178" s="1"/>
    </x:row>
    <x:row r="179" ht="21" customHeight="1">
      <x:c r="A179" s="1" t="n">
        <x:v>156</x:v>
      </x:c>
      <x:c r="B179" s="7" t="n">
        <x:f>ROUND($B$6*$B$7^(A179-1),0)</x:f>
        <x:v>832544116194</x:v>
      </x:c>
      <x:c r="C179" s="7" t="n">
        <x:f>ROUND(B179*$B$15,0)</x:f>
        <x:v>3996211757731</x:v>
      </x:c>
      <x:c r="D179" s="7" t="n">
        <x:f>ROUND($B$8*$B$9^(A179-1),0)</x:f>
        <x:v>176303459900</x:v>
      </x:c>
      <x:c r="E179" s="7" t="n">
        <x:f>ROUND($B$10*$B$11^(A179-1),0)</x:f>
        <x:v>2494500742544</x:v>
      </x:c>
      <x:c r="F179" s="7" t="n">
        <x:f>ROUND($B$12*$B$13^(A179-1)*$B$14^INT(A179/5),0)</x:f>
        <x:v>491290645224</x:v>
      </x:c>
      <x:c r="G179" s="1"/>
      <x:c r="H179" s="1"/>
    </x:row>
    <x:row r="180" ht="21" customHeight="1">
      <x:c r="A180" s="1" t="n">
        <x:v>157</x:v>
      </x:c>
      <x:c r="B180" s="7" t="n">
        <x:f>ROUND($B$6*$B$7^(A180-1),0)</x:f>
        <x:v>965751174786</x:v>
      </x:c>
      <x:c r="C180" s="7" t="n">
        <x:f>ROUND(B180*$B$15,0)</x:f>
        <x:v>4635605638973</x:v>
      </x:c>
      <x:c r="D180" s="7" t="n">
        <x:f>ROUND($B$8*$B$9^(A180-1),0)</x:f>
        <x:v>204512013484</x:v>
      </x:c>
      <x:c r="E180" s="7" t="n">
        <x:f>ROUND($B$10*$B$11^(A180-1),0)</x:f>
        <x:v>2943510876202</x:v>
      </x:c>
      <x:c r="F180" s="7" t="n">
        <x:f>ROUND($B$12*$B$13^(A180-1)*$B$14^INT(A180/5),0)</x:f>
        <x:v>564984242008</x:v>
      </x:c>
      <x:c r="G180" s="1"/>
      <x:c r="H180" s="1"/>
    </x:row>
    <x:row r="181" ht="21" customHeight="1">
      <x:c r="A181" s="1" t="n">
        <x:v>158</x:v>
      </x:c>
      <x:c r="B181" s="7" t="n">
        <x:f>ROUND($B$6*$B$7^(A181-1),0)</x:f>
        <x:v>1120271362751</x:v>
      </x:c>
      <x:c r="C181" s="7" t="n">
        <x:f>ROUND(B181*$B$15,0)</x:f>
        <x:v>5377302541205</x:v>
      </x:c>
      <x:c r="D181" s="7" t="n">
        <x:f>ROUND($B$8*$B$9^(A181-1),0)</x:f>
        <x:v>237233935641</x:v>
      </x:c>
      <x:c r="E181" s="7" t="n">
        <x:f>ROUND($B$10*$B$11^(A181-1),0)</x:f>
        <x:v>3473342833919</x:v>
      </x:c>
      <x:c r="F181" s="7" t="n">
        <x:f>ROUND($B$12*$B$13^(A181-1)*$B$14^INT(A181/5),0)</x:f>
        <x:v>649731878309</x:v>
      </x:c>
      <x:c r="G181" s="1"/>
      <x:c r="H181" s="1"/>
    </x:row>
    <x:row r="182" ht="21" customHeight="1">
      <x:c r="A182" s="1" t="n">
        <x:v>159</x:v>
      </x:c>
      <x:c r="B182" s="7" t="n">
        <x:f>ROUND($B$6*$B$7^(A182-1),0)</x:f>
        <x:v>1299514780791</x:v>
      </x:c>
      <x:c r="C182" s="7" t="n">
        <x:f>ROUND(B182*$B$15,0)</x:f>
        <x:v>6237670947797</x:v>
      </x:c>
      <x:c r="D182" s="7" t="n">
        <x:f>ROUND($B$8*$B$9^(A182-1),0)</x:f>
        <x:v>275191365344</x:v>
      </x:c>
      <x:c r="E182" s="7" t="n">
        <x:f>ROUND($B$10*$B$11^(A182-1),0)</x:f>
        <x:v>4098544544024</x:v>
      </x:c>
      <x:c r="F182" s="7" t="n">
        <x:f>ROUND($B$12*$B$13^(A182-1)*$B$14^INT(A182/5),0)</x:f>
        <x:v>747191660056</x:v>
      </x:c>
      <x:c r="G182" s="1"/>
      <x:c r="H182" s="1"/>
    </x:row>
    <x:row r="183" ht="21" customHeight="1">
      <x:c r="A183" s="1" t="n">
        <x:v>160</x:v>
      </x:c>
      <x:c r="B183" s="7" t="n">
        <x:f>ROUND($B$6*$B$7^(A183-1),0)</x:f>
        <x:v>1507437145718</x:v>
      </x:c>
      <x:c r="C183" s="7" t="n">
        <x:f>ROUND(B183*$B$15,0)</x:f>
        <x:v>7235698299446</x:v>
      </x:c>
      <x:c r="D183" s="7" t="n">
        <x:f>ROUND($B$8*$B$9^(A183-1),0)</x:f>
        <x:v>319221983799</x:v>
      </x:c>
      <x:c r="E183" s="7" t="n">
        <x:f>ROUND($B$10*$B$11^(A183-1),0)</x:f>
        <x:v>4836282561948</x:v>
      </x:c>
      <x:c r="F183" s="7" t="n">
        <x:f>ROUND($B$12*$B$13^(A183-1)*$B$14^INT(A183/5),0)</x:f>
        <x:v>945197449971</x:v>
      </x:c>
      <x:c r="G183" s="1"/>
      <x:c r="H183" s="1"/>
    </x:row>
    <x:row r="184" ht="21" customHeight="1">
      <x:c r="A184" s="1" t="n">
        <x:v>161</x:v>
      </x:c>
      <x:c r="B184" s="7" t="n">
        <x:f>ROUND($B$6*$B$7^(A184-1),0)</x:f>
        <x:v>1748627089033</x:v>
      </x:c>
      <x:c r="C184" s="7" t="n">
        <x:f>ROUND(B184*$B$15,0)</x:f>
        <x:v>8393410027358</x:v>
      </x:c>
      <x:c r="D184" s="7" t="n">
        <x:f>ROUND($B$8*$B$9^(A184-1),0)</x:f>
        <x:v>370297501207</x:v>
      </x:c>
      <x:c r="E184" s="7" t="n">
        <x:f>ROUND($B$10*$B$11^(A184-1),0)</x:f>
        <x:v>5706813423099</x:v>
      </x:c>
      <x:c r="F184" s="7" t="n">
        <x:f>ROUND($B$12*$B$13^(A184-1)*$B$14^INT(A184/5),0)</x:f>
        <x:v>1086977067466</x:v>
      </x:c>
      <x:c r="G184" s="1"/>
      <x:c r="H184" s="1"/>
    </x:row>
    <x:row r="185" ht="21" customHeight="1">
      <x:c r="A185" s="1" t="n">
        <x:v>162</x:v>
      </x:c>
      <x:c r="B185" s="7" t="n">
        <x:f>ROUND($B$6*$B$7^(A185-1),0)</x:f>
        <x:v>2028407423278</x:v>
      </x:c>
      <x:c r="C185" s="7" t="n">
        <x:f>ROUND(B185*$B$15,0)</x:f>
        <x:v>9736355631734</x:v>
      </x:c>
      <x:c r="D185" s="7" t="n">
        <x:f>ROUND($B$8*$B$9^(A185-1),0)</x:f>
        <x:v>429545101400</x:v>
      </x:c>
      <x:c r="E185" s="7" t="n">
        <x:f>ROUND($B$10*$B$11^(A185-1),0)</x:f>
        <x:v>6734039839257</x:v>
      </x:c>
      <x:c r="F185" s="7" t="n">
        <x:f>ROUND($B$12*$B$13^(A185-1)*$B$14^INT(A185/5),0)</x:f>
        <x:v>1250023627586</x:v>
      </x:c>
      <x:c r="G185" s="1"/>
      <x:c r="H185" s="1"/>
    </x:row>
    <x:row r="186" ht="21" customHeight="1">
      <x:c r="A186" s="1" t="n">
        <x:v>163</x:v>
      </x:c>
      <x:c r="B186" s="7" t="n">
        <x:f>ROUND($B$6*$B$7^(A186-1),0)</x:f>
        <x:v>2352952611003</x:v>
      </x:c>
      <x:c r="C186" s="7" t="n">
        <x:f>ROUND(B186*$B$15,0)</x:f>
        <x:v>11294172532814</x:v>
      </x:c>
      <x:c r="D186" s="7" t="n">
        <x:f>ROUND($B$8*$B$9^(A186-1),0)</x:f>
        <x:v>498272317624</x:v>
      </x:c>
      <x:c r="E186" s="7" t="n">
        <x:f>ROUND($B$10*$B$11^(A186-1),0)</x:f>
        <x:v>7946167010323</x:v>
      </x:c>
      <x:c r="F186" s="7" t="n">
        <x:f>ROUND($B$12*$B$13^(A186-1)*$B$14^INT(A186/5),0)</x:f>
        <x:v>1437527171724</x:v>
      </x:c>
      <x:c r="G186" s="1"/>
      <x:c r="H186" s="1"/>
    </x:row>
    <x:row r="187" ht="21" customHeight="1">
      <x:c r="A187" s="1" t="n">
        <x:v>164</x:v>
      </x:c>
      <x:c r="B187" s="7" t="n">
        <x:f>ROUND($B$6*$B$7^(A187-1),0)</x:f>
        <x:v>2729425028763</x:v>
      </x:c>
      <x:c r="C187" s="7" t="n">
        <x:f>ROUND(B187*$B$15,0)</x:f>
        <x:v>13101240138062</x:v>
      </x:c>
      <x:c r="D187" s="7" t="n">
        <x:f>ROUND($B$8*$B$9^(A187-1),0)</x:f>
        <x:v>577995888444</x:v>
      </x:c>
      <x:c r="E187" s="7" t="n">
        <x:f>ROUND($B$10*$B$11^(A187-1),0)</x:f>
        <x:v>9376477072181</x:v>
      </x:c>
      <x:c r="F187" s="7" t="n">
        <x:f>ROUND($B$12*$B$13^(A187-1)*$B$14^INT(A187/5),0)</x:f>
        <x:v>1653156247483</x:v>
      </x:c>
      <x:c r="G187" s="1"/>
      <x:c r="H187" s="1"/>
    </x:row>
    <x:row r="188" ht="21" customHeight="1">
      <x:c r="A188" s="1" t="n">
        <x:v>165</x:v>
      </x:c>
      <x:c r="B188" s="7" t="n">
        <x:f>ROUND($B$6*$B$7^(A188-1),0)</x:f>
        <x:v>3166133033365</x:v>
      </x:c>
      <x:c r="C188" s="7" t="n">
        <x:f>ROUND(B188*$B$15,0)</x:f>
        <x:v>15197438560152</x:v>
      </x:c>
      <x:c r="D188" s="7" t="n">
        <x:f>ROUND($B$8*$B$9^(A188-1),0)</x:f>
        <x:v>670475230595</x:v>
      </x:c>
      <x:c r="E188" s="7" t="n">
        <x:f>ROUND($B$10*$B$11^(A188-1),0)</x:f>
        <x:v>11064242945174</x:v>
      </x:c>
      <x:c r="F188" s="7" t="n">
        <x:f>ROUND($B$12*$B$13^(A188-1)*$B$14^INT(A188/5),0)</x:f>
        <x:v>2091242653065</x:v>
      </x:c>
      <x:c r="G188" s="1"/>
      <x:c r="H188" s="1"/>
    </x:row>
    <x:row r="189" ht="21" customHeight="1">
      <x:c r="A189" s="1" t="n">
        <x:v>166</x:v>
      </x:c>
      <x:c r="B189" s="7" t="n">
        <x:f>ROUND($B$6*$B$7^(A189-1),0)</x:f>
        <x:v>3672714318704</x:v>
      </x:c>
      <x:c r="C189" s="7" t="n">
        <x:f>ROUND(B189*$B$15,0)</x:f>
        <x:v>17629028729779</x:v>
      </x:c>
      <x:c r="D189" s="7" t="n">
        <x:f>ROUND($B$8*$B$9^(A189-1),0)</x:f>
        <x:v>777751267490</x:v>
      </x:c>
      <x:c r="E189" s="7" t="n">
        <x:f>ROUND($B$10*$B$11^(A189-1),0)</x:f>
        <x:v>13055806675305</x:v>
      </x:c>
      <x:c r="F189" s="7" t="n">
        <x:f>ROUND($B$12*$B$13^(A189-1)*$B$14^INT(A189/5),0)</x:f>
        <x:v>2404929051025</x:v>
      </x:c>
      <x:c r="G189" s="1"/>
      <x:c r="H189" s="1"/>
    </x:row>
    <x:row r="190" ht="21" customHeight="1">
      <x:c r="A190" s="1" t="n">
        <x:v>167</x:v>
      </x:c>
      <x:c r="B190" s="7" t="n">
        <x:f>ROUND($B$6*$B$7^(A190-1),0)</x:f>
        <x:v>4260348609696</x:v>
      </x:c>
      <x:c r="C190" s="7" t="n">
        <x:f>ROUND(B190*$B$15,0)</x:f>
        <x:v>20449673326541</x:v>
      </x:c>
      <x:c r="D190" s="7" t="n">
        <x:f>ROUND($B$8*$B$9^(A190-1),0)</x:f>
        <x:v>902191470289</x:v>
      </x:c>
      <x:c r="E190" s="7" t="n">
        <x:f>ROUND($B$10*$B$11^(A190-1),0)</x:f>
        <x:v>15405851876860</x:v>
      </x:c>
      <x:c r="F190" s="7" t="n">
        <x:f>ROUND($B$12*$B$13^(A190-1)*$B$14^INT(A190/5),0)</x:f>
        <x:v>2765668408679</x:v>
      </x:c>
      <x:c r="G190" s="1"/>
      <x:c r="H190" s="1"/>
    </x:row>
    <x:row r="191" ht="21" customHeight="1">
      <x:c r="A191" s="1" t="n">
        <x:v>168</x:v>
      </x:c>
      <x:c r="B191" s="7" t="n">
        <x:f>ROUND($B$6*$B$7^(A191-1),0)</x:f>
        <x:v>4942004387248</x:v>
      </x:c>
      <x:c r="C191" s="7" t="n">
        <x:f>ROUND(B191*$B$15,0)</x:f>
        <x:v>23721621058790</x:v>
      </x:c>
      <x:c r="D191" s="7" t="n">
        <x:f>ROUND($B$8*$B$9^(A191-1),0)</x:f>
        <x:v>1046542105535</x:v>
      </x:c>
      <x:c r="E191" s="7" t="n">
        <x:f>ROUND($B$10*$B$11^(A191-1),0)</x:f>
        <x:v>18178905214695</x:v>
      </x:c>
      <x:c r="F191" s="7" t="n">
        <x:f>ROUND($B$12*$B$13^(A191-1)*$B$14^INT(A191/5),0)</x:f>
        <x:v>3180518669981</x:v>
      </x:c>
      <x:c r="G191" s="1"/>
      <x:c r="H191" s="1"/>
    </x:row>
    <x:row r="192" ht="21" customHeight="1">
      <x:c r="A192" s="1" t="n">
        <x:v>169</x:v>
      </x:c>
      <x:c r="B192" s="7" t="n">
        <x:f>ROUND($B$6*$B$7^(A192-1),0)</x:f>
        <x:v>5732725089207</x:v>
      </x:c>
      <x:c r="C192" s="7" t="n">
        <x:f>ROUND(B192*$B$15,0)</x:f>
        <x:v>27517080428194</x:v>
      </x:c>
      <x:c r="D192" s="7" t="n">
        <x:f>ROUND($B$8*$B$9^(A192-1),0)</x:f>
        <x:v>1213988842420</x:v>
      </x:c>
      <x:c r="E192" s="7" t="n">
        <x:f>ROUND($B$10*$B$11^(A192-1),0)</x:f>
        <x:v>21451108153340</x:v>
      </x:c>
      <x:c r="F192" s="7" t="n">
        <x:f>ROUND($B$12*$B$13^(A192-1)*$B$14^INT(A192/5),0)</x:f>
        <x:v>3657596470478</x:v>
      </x:c>
      <x:c r="G192" s="1"/>
      <x:c r="H192" s="1"/>
    </x:row>
    <x:row r="193" ht="21" customHeight="1">
      <x:c r="A193" s="1" t="n">
        <x:v>170</x:v>
      </x:c>
      <x:c r="B193" s="7" t="n">
        <x:f>ROUND($B$6*$B$7^(A193-1),0)</x:f>
        <x:v>6649961103480</x:v>
      </x:c>
      <x:c r="C193" s="7" t="n">
        <x:f>ROUND(B193*$B$15,0)</x:f>
        <x:v>31919813296704</x:v>
      </x:c>
      <x:c r="D193" s="7" t="n">
        <x:f>ROUND($B$8*$B$9^(A193-1),0)</x:f>
        <x:v>1408227057208</x:v>
      </x:c>
      <x:c r="E193" s="7" t="n">
        <x:f>ROUND($B$10*$B$11^(A193-1),0)</x:f>
        <x:v>25312307620941</x:v>
      </x:c>
      <x:c r="F193" s="7" t="n">
        <x:f>ROUND($B$12*$B$13^(A193-1)*$B$14^INT(A193/5),0)</x:f>
        <x:v>4626859535155</x:v>
      </x:c>
      <x:c r="G193" s="1"/>
      <x:c r="H193" s="1"/>
    </x:row>
    <x:row r="194" ht="21" customHeight="1">
      <x:c r="A194" s="1" t="n">
        <x:v>171</x:v>
      </x:c>
      <x:c r="B194" s="7" t="n">
        <x:f>ROUND($B$6*$B$7^(A194-1),0)</x:f>
        <x:v>7713954880037</x:v>
      </x:c>
      <x:c r="C194" s="7" t="n">
        <x:f>ROUND(B194*$B$15,0)</x:f>
        <x:v>37026983424178</x:v>
      </x:c>
      <x:c r="D194" s="7" t="n">
        <x:f>ROUND($B$8*$B$9^(A194-1),0)</x:f>
        <x:v>1633543386361</x:v>
      </x:c>
      <x:c r="E194" s="7" t="n">
        <x:f>ROUND($B$10*$B$11^(A194-1),0)</x:f>
        <x:v>29868522992710</x:v>
      </x:c>
      <x:c r="F194" s="7" t="n">
        <x:f>ROUND($B$12*$B$13^(A194-1)*$B$14^INT(A194/5),0)</x:f>
        <x:v>5320888465428</x:v>
      </x:c>
      <x:c r="G194" s="1"/>
      <x:c r="H194" s="1"/>
    </x:row>
    <x:row r="195" ht="21" customHeight="1">
      <x:c r="A195" s="1" t="n">
        <x:v>172</x:v>
      </x:c>
      <x:c r="B195" s="7" t="n">
        <x:f>ROUND($B$6*$B$7^(A195-1),0)</x:f>
        <x:v>8948187660843</x:v>
      </x:c>
      <x:c r="C195" s="7" t="n">
        <x:f>ROUND(B195*$B$15,0)</x:f>
        <x:v>42951300772046</x:v>
      </x:c>
      <x:c r="D195" s="7" t="n">
        <x:f>ROUND($B$8*$B$9^(A195-1),0)</x:f>
        <x:v>1894910328179</x:v>
      </x:c>
      <x:c r="E195" s="7" t="n">
        <x:f>ROUND($B$10*$B$11^(A195-1),0)</x:f>
        <x:v>35244857131398</x:v>
      </x:c>
      <x:c r="F195" s="7" t="n">
        <x:f>ROUND($B$12*$B$13^(A195-1)*$B$14^INT(A195/5),0)</x:f>
        <x:v>6119021735242</x:v>
      </x:c>
      <x:c r="G195" s="1"/>
      <x:c r="H195" s="1"/>
    </x:row>
    <x:row r="196" ht="21" customHeight="1">
      <x:c r="A196" s="1" t="n">
        <x:v>173</x:v>
      </x:c>
      <x:c r="B196" s="7" t="n">
        <x:f>ROUND($B$6*$B$7^(A196-1),0)</x:f>
        <x:v>10379897686578</x:v>
      </x:c>
      <x:c r="C196" s="7" t="n">
        <x:f>ROUND(B196*$B$15,0)</x:f>
        <x:v>49823508895574</x:v>
      </x:c>
      <x:c r="D196" s="7" t="n">
        <x:f>ROUND($B$8*$B$9^(A196-1),0)</x:f>
        <x:v>2198095980687</x:v>
      </x:c>
      <x:c r="E196" s="7" t="n">
        <x:f>ROUND($B$10*$B$11^(A196-1),0)</x:f>
        <x:v>41588931415050</x:v>
      </x:c>
      <x:c r="F196" s="7" t="n">
        <x:f>ROUND($B$12*$B$13^(A196-1)*$B$14^INT(A196/5),0)</x:f>
        <x:v>7036874995529</x:v>
      </x:c>
      <x:c r="G196" s="1"/>
      <x:c r="H196" s="1"/>
    </x:row>
    <x:row r="197" ht="21" customHeight="1">
      <x:c r="A197" s="1" t="n">
        <x:v>174</x:v>
      </x:c>
      <x:c r="B197" s="7" t="n">
        <x:f>ROUND($B$6*$B$7^(A197-1),0)</x:f>
        <x:v>12040681316430</x:v>
      </x:c>
      <x:c r="C197" s="7" t="n">
        <x:f>ROUND(B197*$B$15,0)</x:f>
        <x:v>57795270318864</x:v>
      </x:c>
      <x:c r="D197" s="7" t="n">
        <x:f>ROUND($B$8*$B$9^(A197-1),0)</x:f>
        <x:v>2549791337597</x:v>
      </x:c>
      <x:c r="E197" s="7" t="n">
        <x:f>ROUND($B$10*$B$11^(A197-1),0)</x:f>
        <x:v>49074939069758</x:v>
      </x:c>
      <x:c r="F197" s="7" t="n">
        <x:f>ROUND($B$12*$B$13^(A197-1)*$B$14^INT(A197/5),0)</x:f>
        <x:v>8092406244858</x:v>
      </x:c>
      <x:c r="G197" s="1"/>
      <x:c r="H197" s="1"/>
    </x:row>
    <x:row r="198" ht="21" customHeight="1">
      <x:c r="A198" s="1" t="n">
        <x:v>175</x:v>
      </x:c>
      <x:c r="B198" s="7" t="n">
        <x:f>ROUND($B$6*$B$7^(A198-1),0)</x:f>
        <x:v>13967190327059</x:v>
      </x:c>
      <x:c r="C198" s="7" t="n">
        <x:f>ROUND(B198*$B$15,0)</x:f>
        <x:v>67042513569883</x:v>
      </x:c>
      <x:c r="D198" s="7" t="n">
        <x:f>ROUND($B$8*$B$9^(A198-1),0)</x:f>
        <x:v>2957757951613</x:v>
      </x:c>
      <x:c r="E198" s="7" t="n">
        <x:f>ROUND($B$10*$B$11^(A198-1),0)</x:f>
        <x:v>57908428102315</x:v>
      </x:c>
      <x:c r="F198" s="7" t="n">
        <x:f>ROUND($B$12*$B$13^(A198-1)*$B$14^INT(A198/5),0)</x:f>
        <x:v>10236893899745</x:v>
      </x:c>
      <x:c r="G198" s="1"/>
      <x:c r="H198" s="1"/>
    </x:row>
    <x:row r="199" ht="21" customHeight="1">
      <x:c r="A199" s="1" t="n">
        <x:v>176</x:v>
      </x:c>
      <x:c r="B199" s="7" t="n">
        <x:f>ROUND($B$6*$B$7^(A199-1),0)</x:f>
        <x:v>16201940779389</x:v>
      </x:c>
      <x:c r="C199" s="7" t="n">
        <x:f>ROUND(B199*$B$15,0)</x:f>
        <x:v>77769315741067</x:v>
      </x:c>
      <x:c r="D199" s="7" t="n">
        <x:f>ROUND($B$8*$B$9^(A199-1),0)</x:f>
        <x:v>3430999223871</x:v>
      </x:c>
      <x:c r="E199" s="7" t="n">
        <x:f>ROUND($B$10*$B$11^(A199-1),0)</x:f>
        <x:v>68331945160732</x:v>
      </x:c>
      <x:c r="F199" s="7" t="n">
        <x:f>ROUND($B$12*$B$13^(A199-1)*$B$14^INT(A199/5),0)</x:f>
        <x:v>11772427984707</x:v>
      </x:c>
      <x:c r="G199" s="1"/>
      <x:c r="H199" s="1"/>
    </x:row>
    <x:row r="200" ht="21" customHeight="1">
      <x:c r="A200" s="1" t="n">
        <x:v>177</x:v>
      </x:c>
      <x:c r="B200" s="7" t="n">
        <x:f>ROUND($B$6*$B$7^(A200-1),0)</x:f>
        <x:v>18794251304091</x:v>
      </x:c>
      <x:c r="C200" s="7" t="n">
        <x:f>ROUND(B200*$B$15,0)</x:f>
        <x:v>90212406259637</x:v>
      </x:c>
      <x:c r="D200" s="7" t="n">
        <x:f>ROUND($B$8*$B$9^(A200-1),0)</x:f>
        <x:v>3979959099690</x:v>
      </x:c>
      <x:c r="E200" s="7" t="n">
        <x:f>ROUND($B$10*$B$11^(A200-1),0)</x:f>
        <x:v>80631695289663</x:v>
      </x:c>
      <x:c r="F200" s="7" t="n">
        <x:f>ROUND($B$12*$B$13^(A200-1)*$B$14^INT(A200/5),0)</x:f>
        <x:v>13538292182413</x:v>
      </x:c>
      <x:c r="G200" s="1"/>
      <x:c r="H200" s="1"/>
    </x:row>
    <x:row r="201" ht="21" customHeight="1">
      <x:c r="A201" s="1" t="n">
        <x:v>178</x:v>
      </x:c>
      <x:c r="B201" s="7" t="n">
        <x:f>ROUND($B$6*$B$7^(A201-1),0)</x:f>
        <x:v>21801331512745</x:v>
      </x:c>
      <x:c r="C201" s="7" t="n">
        <x:f>ROUND(B201*$B$15,0)</x:f>
        <x:v>104646391261176</x:v>
      </x:c>
      <x:c r="D201" s="7" t="n">
        <x:f>ROUND($B$8*$B$9^(A201-1),0)</x:f>
        <x:v>4616752555640</x:v>
      </x:c>
      <x:c r="E201" s="7" t="n">
        <x:f>ROUND($B$10*$B$11^(A201-1),0)</x:f>
        <x:v>95145400441803</x:v>
      </x:c>
      <x:c r="F201" s="7" t="n">
        <x:f>ROUND($B$12*$B$13^(A201-1)*$B$14^INT(A201/5),0)</x:f>
        <x:v>15569036009775</x:v>
      </x:c>
      <x:c r="G201" s="1"/>
      <x:c r="H201" s="1"/>
    </x:row>
    <x:row r="202" ht="21" customHeight="1">
      <x:c r="A202" s="1" t="n">
        <x:v>179</x:v>
      </x:c>
      <x:c r="B202" s="7" t="n">
        <x:f>ROUND($B$6*$B$7^(A202-1),0)</x:f>
        <x:v>25289544554785</x:v>
      </x:c>
      <x:c r="C202" s="7" t="n">
        <x:f>ROUND(B202*$B$15,0)</x:f>
        <x:v>121389813862968</x:v>
      </x:c>
      <x:c r="D202" s="7" t="n">
        <x:f>ROUND($B$8*$B$9^(A202-1),0)</x:f>
        <x:v>5355432964543</x:v>
      </x:c>
      <x:c r="E202" s="7" t="n">
        <x:f>ROUND($B$10*$B$11^(A202-1),0)</x:f>
        <x:v>112271572521327</x:v>
      </x:c>
      <x:c r="F202" s="7" t="n">
        <x:f>ROUND($B$12*$B$13^(A202-1)*$B$14^INT(A202/5),0)</x:f>
        <x:v>17904391411241</x:v>
      </x:c>
      <x:c r="G202" s="1"/>
      <x:c r="H202" s="1"/>
    </x:row>
    <x:row r="203" ht="21" customHeight="1">
      <x:c r="A203" s="1" t="n">
        <x:v>180</x:v>
      </x:c>
      <x:c r="B203" s="7" t="n">
        <x:f>ROUND($B$6*$B$7^(A203-1),0)</x:f>
        <x:v>29335871683550</x:v>
      </x:c>
      <x:c r="C203" s="7" t="n">
        <x:f>ROUND(B203*$B$15,0)</x:f>
        <x:v>140812184081040</x:v>
      </x:c>
      <x:c r="D203" s="7" t="n">
        <x:f>ROUND($B$8*$B$9^(A203-1),0)</x:f>
        <x:v>6212302238869</x:v>
      </x:c>
      <x:c r="E203" s="7" t="n">
        <x:f>ROUND($B$10*$B$11^(A203-1),0)</x:f>
        <x:v>132480455575166</x:v>
      </x:c>
      <x:c r="F203" s="7" t="n">
        <x:f>ROUND($B$12*$B$13^(A203-1)*$B$14^INT(A203/5),0)</x:f>
        <x:v>22649055135220</x:v>
      </x:c>
      <x:c r="G203" s="1"/>
      <x:c r="H203" s="1"/>
    </x:row>
    <x:row r="204" ht="21" customHeight="1">
      <x:c r="A204" s="1" t="n">
        <x:v>181</x:v>
      </x:c>
      <x:c r="B204" s="7" t="n">
        <x:f>ROUND($B$6*$B$7^(A204-1),0)</x:f>
        <x:v>34029611152918</x:v>
      </x:c>
      <x:c r="C204" s="7" t="n">
        <x:f>ROUND(B204*$B$15,0)</x:f>
        <x:v>163342133534006</x:v>
      </x:c>
      <x:c r="D204" s="7" t="n">
        <x:f>ROUND($B$8*$B$9^(A204-1),0)</x:f>
        <x:v>7206270597089</x:v>
      </x:c>
      <x:c r="E204" s="7" t="n">
        <x:f>ROUND($B$10*$B$11^(A204-1),0)</x:f>
        <x:v>156326937578696</x:v>
      </x:c>
      <x:c r="F204" s="7" t="n">
        <x:f>ROUND($B$12*$B$13^(A204-1)*$B$14^INT(A204/5),0)</x:f>
        <x:v>26046413405503</x:v>
      </x:c>
      <x:c r="G204" s="1"/>
      <x:c r="H204" s="1"/>
    </x:row>
    <x:row r="205" ht="21" customHeight="1">
      <x:c r="A205" s="1" t="n">
        <x:v>182</x:v>
      </x:c>
      <x:c r="B205" s="7" t="n">
        <x:f>ROUND($B$6*$B$7^(A205-1),0)</x:f>
        <x:v>39474348937385</x:v>
      </x:c>
      <x:c r="C205" s="7" t="n">
        <x:f>ROUND(B205*$B$15,0)</x:f>
        <x:v>189476874899448</x:v>
      </x:c>
      <x:c r="D205" s="7" t="n">
        <x:f>ROUND($B$8*$B$9^(A205-1),0)</x:f>
        <x:v>8359273892623</x:v>
      </x:c>
      <x:c r="E205" s="7" t="n">
        <x:f>ROUND($B$10*$B$11^(A205-1),0)</x:f>
        <x:v>184465786342861</x:v>
      </x:c>
      <x:c r="F205" s="7" t="n">
        <x:f>ROUND($B$12*$B$13^(A205-1)*$B$14^INT(A205/5),0)</x:f>
        <x:v>29953375416329</x:v>
      </x:c>
      <x:c r="G205" s="1"/>
      <x:c r="H205" s="1"/>
    </x:row>
    <x:row r="206" ht="21" customHeight="1">
      <x:c r="A206" s="1" t="n">
        <x:v>183</x:v>
      </x:c>
      <x:c r="B206" s="7" t="n">
        <x:f>ROUND($B$6*$B$7^(A206-1),0)</x:f>
        <x:v>45790244767367</x:v>
      </x:c>
      <x:c r="C206" s="7" t="n">
        <x:f>ROUND(B206*$B$15,0)</x:f>
        <x:v>219793174883362</x:v>
      </x:c>
      <x:c r="D206" s="7" t="n">
        <x:f>ROUND($B$8*$B$9^(A206-1),0)</x:f>
        <x:v>9696757715442</x:v>
      </x:c>
      <x:c r="E206" s="7" t="n">
        <x:f>ROUND($B$10*$B$11^(A206-1),0)</x:f>
        <x:v>217669627884576</x:v>
      </x:c>
      <x:c r="F206" s="7" t="n">
        <x:f>ROUND($B$12*$B$13^(A206-1)*$B$14^INT(A206/5),0)</x:f>
        <x:v>34446381728778</x:v>
      </x:c>
      <x:c r="G206" s="1"/>
      <x:c r="H206" s="1"/>
    </x:row>
    <x:row r="207" ht="21" customHeight="1">
      <x:c r="A207" s="1" t="n">
        <x:v>184</x:v>
      </x:c>
      <x:c r="B207" s="7" t="n">
        <x:f>ROUND($B$6*$B$7^(A207-1),0)</x:f>
        <x:v>53116683930145</x:v>
      </x:c>
      <x:c r="C207" s="7" t="n">
        <x:f>ROUND(B207*$B$15,0)</x:f>
        <x:v>254960082864696</x:v>
      </x:c>
      <x:c r="D207" s="7" t="n">
        <x:f>ROUND($B$8*$B$9^(A207-1),0)</x:f>
        <x:v>11248238949913</x:v>
      </x:c>
      <x:c r="E207" s="7" t="n">
        <x:f>ROUND($B$10*$B$11^(A207-1),0)</x:f>
        <x:v>256850160903800</x:v>
      </x:c>
      <x:c r="F207" s="7" t="n">
        <x:f>ROUND($B$12*$B$13^(A207-1)*$B$14^INT(A207/5),0)</x:f>
        <x:v>39613338988095</x:v>
      </x:c>
      <x:c r="G207" s="1"/>
      <x:c r="H207" s="1"/>
    </x:row>
    <x:row r="208" ht="21" customHeight="1">
      <x:c r="A208" s="1" t="n">
        <x:v>185</x:v>
      </x:c>
      <x:c r="B208" s="7" t="n">
        <x:f>ROUND($B$6*$B$7^(A208-1),0)</x:f>
        <x:v>61615353358969</x:v>
      </x:c>
      <x:c r="C208" s="7" t="n">
        <x:f>ROUND(B208*$B$15,0)</x:f>
        <x:v>295753696123051</x:v>
      </x:c>
      <x:c r="D208" s="7" t="n">
        <x:f>ROUND($B$8*$B$9^(A208-1),0)</x:f>
        <x:v>13047957181899</x:v>
      </x:c>
      <x:c r="E208" s="7" t="n">
        <x:f>ROUND($B$10*$B$11^(A208-1),0)</x:f>
        <x:v>303083189866484</x:v>
      </x:c>
      <x:c r="F208" s="7" t="n">
        <x:f>ROUND($B$12*$B$13^(A208-1)*$B$14^INT(A208/5),0)</x:f>
        <x:v>50110873819940</x:v>
      </x:c>
      <x:c r="G208" s="1"/>
      <x:c r="H208" s="1"/>
    </x:row>
    <x:row r="209" ht="21" customHeight="1">
      <x:c r="A209" s="1" t="n">
        <x:v>186</x:v>
      </x:c>
      <x:c r="B209" s="7" t="n">
        <x:f>ROUND($B$6*$B$7^(A209-1),0)</x:f>
        <x:v>71473809896404</x:v>
      </x:c>
      <x:c r="C209" s="7" t="n">
        <x:f>ROUND(B209*$B$15,0)</x:f>
        <x:v>343074287502739</x:v>
      </x:c>
      <x:c r="D209" s="7" t="n">
        <x:f>ROUND($B$8*$B$9^(A209-1),0)</x:f>
        <x:v>15135630331003</x:v>
      </x:c>
      <x:c r="E209" s="7" t="n">
        <x:f>ROUND($B$10*$B$11^(A209-1),0)</x:f>
        <x:v>357638164042451</x:v>
      </x:c>
      <x:c r="F209" s="7" t="n">
        <x:f>ROUND($B$12*$B$13^(A209-1)*$B$14^INT(A209/5),0)</x:f>
        <x:v>57627504892930</x:v>
      </x:c>
      <x:c r="G209" s="1"/>
      <x:c r="H209" s="1"/>
    </x:row>
    <x:row r="210" ht="21" customHeight="1">
      <x:c r="A210" s="1" t="n">
        <x:v>187</x:v>
      </x:c>
      <x:c r="B210" s="7" t="n">
        <x:f>ROUND($B$6*$B$7^(A210-1),0)</x:f>
        <x:v>82909619479828</x:v>
      </x:c>
      <x:c r="C210" s="7" t="n">
        <x:f>ROUND(B210*$B$15,0)</x:f>
        <x:v>397966173503174</x:v>
      </x:c>
      <x:c r="D210" s="7" t="n">
        <x:f>ROUND($B$8*$B$9^(A210-1),0)</x:f>
        <x:v>17557331183964</x:v>
      </x:c>
      <x:c r="E210" s="7" t="n">
        <x:f>ROUND($B$10*$B$11^(A210-1),0)</x:f>
        <x:v>422013033570092</x:v>
      </x:c>
      <x:c r="F210" s="7" t="n">
        <x:f>ROUND($B$12*$B$13^(A210-1)*$B$14^INT(A210/5),0)</x:f>
        <x:v>66271630626870</x:v>
      </x:c>
      <x:c r="G210" s="1"/>
      <x:c r="H210" s="1"/>
    </x:row>
    <x:row r="211" ht="21" customHeight="1">
      <x:c r="A211" s="1" t="n">
        <x:v>188</x:v>
      </x:c>
      <x:c r="B211" s="7" t="n">
        <x:f>ROUND($B$6*$B$7^(A211-1),0)</x:f>
        <x:v>96175158596601</x:v>
      </x:c>
      <x:c r="C211" s="7" t="n">
        <x:f>ROUND(B211*$B$15,0)</x:f>
        <x:v>461640761263685</x:v>
      </x:c>
      <x:c r="D211" s="7" t="n">
        <x:f>ROUND($B$8*$B$9^(A211-1),0)</x:f>
        <x:v>20366504173398</x:v>
      </x:c>
      <x:c r="E211" s="7" t="n">
        <x:f>ROUND($B$10*$B$11^(A211-1),0)</x:f>
        <x:v>497975379612709</x:v>
      </x:c>
      <x:c r="F211" s="7" t="n">
        <x:f>ROUND($B$12*$B$13^(A211-1)*$B$14^INT(A211/5),0)</x:f>
        <x:v>76212375220901</x:v>
      </x:c>
      <x:c r="G211" s="1"/>
      <x:c r="H211" s="1"/>
    </x:row>
    <x:row r="212" ht="21" customHeight="1">
      <x:c r="A212" s="1" t="n">
        <x:v>189</x:v>
      </x:c>
      <x:c r="B212" s="7" t="n">
        <x:f>ROUND($B$6*$B$7^(A212-1),0)</x:f>
        <x:v>111563183972057</x:v>
      </x:c>
      <x:c r="C212" s="7" t="n">
        <x:f>ROUND(B212*$B$15,0)</x:f>
        <x:v>535503283065874</x:v>
      </x:c>
      <x:c r="D212" s="7" t="n">
        <x:f>ROUND($B$8*$B$9^(A212-1),0)</x:f>
        <x:v>23625144841141</x:v>
      </x:c>
      <x:c r="E212" s="7" t="n">
        <x:f>ROUND($B$10*$B$11^(A212-1),0)</x:f>
        <x:v>587610947942996</x:v>
      </x:c>
      <x:c r="F212" s="7" t="n">
        <x:f>ROUND($B$12*$B$13^(A212-1)*$B$14^INT(A212/5),0)</x:f>
        <x:v>87644231504036</x:v>
      </x:c>
      <x:c r="G212" s="1"/>
      <x:c r="H212" s="1"/>
    </x:row>
    <x:row r="213" ht="21" customHeight="1">
      <x:c r="A213" s="1" t="n">
        <x:v>190</x:v>
      </x:c>
      <x:c r="B213" s="7" t="n">
        <x:f>ROUND($B$6*$B$7^(A213-1),0)</x:f>
        <x:v>129413293407586</x:v>
      </x:c>
      <x:c r="C213" s="7" t="n">
        <x:f>ROUND(B213*$B$15,0)</x:f>
        <x:v>621183808356413</x:v>
      </x:c>
      <x:c r="D213" s="7" t="n">
        <x:f>ROUND($B$8*$B$9^(A213-1),0)</x:f>
        <x:v>27405168015724</x:v>
      </x:c>
      <x:c r="E213" s="7" t="n">
        <x:f>ROUND($B$10*$B$11^(A213-1),0)</x:f>
        <x:v>693380918572735</x:v>
      </x:c>
      <x:c r="F213" s="7" t="n">
        <x:f>ROUND($B$12*$B$13^(A213-1)*$B$14^INT(A213/5),0)</x:f>
        <x:v>110869952852605</x:v>
      </x:c>
      <x:c r="G213" s="1"/>
      <x:c r="H213" s="1"/>
    </x:row>
    <x:row r="214" ht="21" customHeight="1">
      <x:c r="A214" s="1" t="n">
        <x:v>191</x:v>
      </x:c>
      <x:c r="B214" s="7" t="n">
        <x:f>ROUND($B$6*$B$7^(A214-1),0)</x:f>
        <x:v>150119420352800</x:v>
      </x:c>
      <x:c r="C214" s="7" t="n">
        <x:f>ROUND(B214*$B$15,0)</x:f>
        <x:v>720573217693440</x:v>
      </x:c>
      <x:c r="D214" s="7" t="n">
        <x:f>ROUND($B$8*$B$9^(A214-1),0)</x:f>
        <x:v>31789994898240</x:v>
      </x:c>
      <x:c r="E214" s="7" t="n">
        <x:f>ROUND($B$10*$B$11^(A214-1),0)</x:f>
        <x:v>818189483915828</x:v>
      </x:c>
      <x:c r="F214" s="7" t="n">
        <x:f>ROUND($B$12*$B$13^(A214-1)*$B$14^INT(A214/5),0)</x:f>
        <x:v>127500445780496</x:v>
      </x:c>
      <x:c r="G214" s="1"/>
      <x:c r="H214" s="1"/>
    </x:row>
    <x:row r="215" ht="21" customHeight="1">
      <x:c r="A215" s="1" t="n">
        <x:v>192</x:v>
      </x:c>
      <x:c r="B215" s="7" t="n">
        <x:f>ROUND($B$6*$B$7^(A215-1),0)</x:f>
        <x:v>174138527609248</x:v>
      </x:c>
      <x:c r="C215" s="7" t="n">
        <x:f>ROUND(B215*$B$15,0)</x:f>
        <x:v>835864932524390</x:v>
      </x:c>
      <x:c r="D215" s="7" t="n">
        <x:f>ROUND($B$8*$B$9^(A215-1),0)</x:f>
        <x:v>36876394081958</x:v>
      </x:c>
      <x:c r="E215" s="7" t="n">
        <x:f>ROUND($B$10*$B$11^(A215-1),0)</x:f>
        <x:v>965463591020677</x:v>
      </x:c>
      <x:c r="F215" s="7" t="n">
        <x:f>ROUND($B$12*$B$13^(A215-1)*$B$14^INT(A215/5),0)</x:f>
        <x:v>146625512647570</x:v>
      </x:c>
      <x:c r="G215" s="1"/>
      <x:c r="H215" s="1"/>
    </x:row>
    <x:row r="216" ht="21" customHeight="1">
      <x:c r="A216" s="1" t="n">
        <x:v>193</x:v>
      </x:c>
      <x:c r="B216" s="7" t="n">
        <x:f>ROUND($B$6*$B$7^(A216-1),0)</x:f>
        <x:v>202000692026727</x:v>
      </x:c>
      <x:c r="C216" s="7" t="n">
        <x:f>ROUND(B216*$B$15,0)</x:f>
        <x:v>969603321728290</x:v>
      </x:c>
      <x:c r="D216" s="7" t="n">
        <x:f>ROUND($B$8*$B$9^(A216-1),0)</x:f>
        <x:v>42776617135072</x:v>
      </x:c>
      <x:c r="E216" s="7" t="n">
        <x:f>ROUND($B$10*$B$11^(A216-1),0)</x:f>
        <x:v>1139247037404398</x:v>
      </x:c>
      <x:c r="F216" s="7" t="n">
        <x:f>ROUND($B$12*$B$13^(A216-1)*$B$14^INT(A216/5),0)</x:f>
        <x:v>168619339544706</x:v>
      </x:c>
      <x:c r="G216" s="1"/>
      <x:c r="H216" s="1"/>
    </x:row>
    <x:row r="217" ht="21" customHeight="1">
      <x:c r="A217" s="1" t="n">
        <x:v>194</x:v>
      </x:c>
      <x:c r="B217" s="7" t="n">
        <x:f>ROUND($B$6*$B$7^(A217-1),0)</x:f>
        <x:v>234320802751004</x:v>
      </x:c>
      <x:c r="C217" s="7" t="n">
        <x:f>ROUND(B217*$B$15,0)</x:f>
        <x:v>1124739853204819</x:v>
      </x:c>
      <x:c r="D217" s="7" t="n">
        <x:f>ROUND($B$8*$B$9^(A217-1),0)</x:f>
        <x:v>49620875876683</x:v>
      </x:c>
      <x:c r="E217" s="7" t="n">
        <x:f>ROUND($B$10*$B$11^(A217-1),0)</x:f>
        <x:v>1344311504137190</x:v>
      </x:c>
      <x:c r="F217" s="7" t="n">
        <x:f>ROUND($B$12*$B$13^(A217-1)*$B$14^INT(A217/5),0)</x:f>
        <x:v>193912240476412</x:v>
      </x:c>
      <x:c r="G217" s="1"/>
      <x:c r="H217" s="1"/>
    </x:row>
    <x:row r="218" ht="21" customHeight="1">
      <x:c r="A218" s="1" t="n">
        <x:v>195</x:v>
      </x:c>
      <x:c r="B218" s="7" t="n">
        <x:f>ROUND($B$6*$B$7^(A218-1),0)</x:f>
        <x:v>271812131191164</x:v>
      </x:c>
      <x:c r="C218" s="7" t="n">
        <x:f>ROUND(B218*$B$15,0)</x:f>
        <x:v>1304698229717587</x:v>
      </x:c>
      <x:c r="D218" s="7" t="n">
        <x:f>ROUND($B$8*$B$9^(A218-1),0)</x:f>
        <x:v>57560216016952</x:v>
      </x:c>
      <x:c r="E218" s="7" t="n">
        <x:f>ROUND($B$10*$B$11^(A218-1),0)</x:f>
        <x:v>1586287574881884</x:v>
      </x:c>
      <x:c r="F218" s="7" t="n">
        <x:f>ROUND($B$12*$B$13^(A218-1)*$B$14^INT(A218/5),0)</x:f>
        <x:v>245298984202661</x:v>
      </x:c>
      <x:c r="G218" s="1"/>
      <x:c r="H218" s="1"/>
    </x:row>
    <x:row r="219" ht="21" customHeight="1">
      <x:c r="A219" s="1" t="n">
        <x:v>196</x:v>
      </x:c>
      <x:c r="B219" s="7" t="n">
        <x:f>ROUND($B$6*$B$7^(A219-1),0)</x:f>
        <x:v>315302072181751</x:v>
      </x:c>
      <x:c r="C219" s="7" t="n">
        <x:f>ROUND(B219*$B$15,0)</x:f>
        <x:v>1513449946472405</x:v>
      </x:c>
      <x:c r="D219" s="7" t="n">
        <x:f>ROUND($B$8*$B$9^(A219-1),0)</x:f>
        <x:v>66769850579665</x:v>
      </x:c>
      <x:c r="E219" s="7" t="n">
        <x:f>ROUND($B$10*$B$11^(A219-1),0)</x:f>
        <x:v>1871819338360623</x:v>
      </x:c>
      <x:c r="F219" s="7" t="n">
        <x:f>ROUND($B$12*$B$13^(A219-1)*$B$14^INT(A219/5),0)</x:f>
        <x:v>282093831833060</x:v>
      </x:c>
      <x:c r="G219" s="1"/>
      <x:c r="H219" s="1"/>
    </x:row>
    <x:row r="220" ht="21" customHeight="1">
      <x:c r="A220" s="1" t="n">
        <x:v>197</x:v>
      </x:c>
      <x:c r="B220" s="7" t="n">
        <x:f>ROUND($B$6*$B$7^(A220-1),0)</x:f>
        <x:v>365750403730831</x:v>
      </x:c>
      <x:c r="C220" s="7" t="n">
        <x:f>ROUND(B220*$B$15,0)</x:f>
        <x:v>1755601937907989</x:v>
      </x:c>
      <x:c r="D220" s="7" t="n">
        <x:f>ROUND($B$8*$B$9^(A220-1),0)</x:f>
        <x:v>77453026672411</x:v>
      </x:c>
      <x:c r="E220" s="7" t="n">
        <x:f>ROUND($B$10*$B$11^(A220-1),0)</x:f>
        <x:v>2208746819265535</x:v>
      </x:c>
      <x:c r="F220" s="7" t="n">
        <x:f>ROUND($B$12*$B$13^(A220-1)*$B$14^INT(A220/5),0)</x:f>
        <x:v>324407906608019</x:v>
      </x:c>
      <x:c r="G220" s="1"/>
      <x:c r="H220" s="1"/>
    </x:row>
    <x:row r="221" ht="21" customHeight="1">
      <x:c r="A221" s="1" t="n">
        <x:v>198</x:v>
      </x:c>
      <x:c r="B221" s="7" t="n">
        <x:f>ROUND($B$6*$B$7^(A221-1),0)</x:f>
        <x:v>424270468327764</x:v>
      </x:c>
      <x:c r="C221" s="7" t="n">
        <x:f>ROUND(B221*$B$15,0)</x:f>
        <x:v>2036498247973267</x:v>
      </x:c>
      <x:c r="D221" s="7" t="n">
        <x:f>ROUND($B$8*$B$9^(A221-1),0)</x:f>
        <x:v>89845510939997</x:v>
      </x:c>
      <x:c r="E221" s="7" t="n">
        <x:f>ROUND($B$10*$B$11^(A221-1),0)</x:f>
        <x:v>2606321246733332</x:v>
      </x:c>
      <x:c r="F221" s="7" t="n">
        <x:f>ROUND($B$12*$B$13^(A221-1)*$B$14^INT(A221/5),0)</x:f>
        <x:v>373069092599221</x:v>
      </x:c>
      <x:c r="G221" s="1"/>
      <x:c r="H221" s="1"/>
    </x:row>
    <x:row r="222" ht="21" customHeight="1">
      <x:c r="A222" s="1" t="n">
        <x:v>199</x:v>
      </x:c>
      <x:c r="B222" s="7" t="n">
        <x:f>ROUND($B$6*$B$7^(A222-1),0)</x:f>
        <x:v>492153743260206</x:v>
      </x:c>
      <x:c r="C222" s="7" t="n">
        <x:f>ROUND(B222*$B$15,0)</x:f>
        <x:v>2362337967648989</x:v>
      </x:c>
      <x:c r="D222" s="7" t="n">
        <x:f>ROUND($B$8*$B$9^(A222-1),0)</x:f>
        <x:v>104220792690396</x:v>
      </x:c>
      <x:c r="E222" s="7" t="n">
        <x:f>ROUND($B$10*$B$11^(A222-1),0)</x:f>
        <x:v>3075459071145331</x:v>
      </x:c>
      <x:c r="F222" s="7" t="n">
        <x:f>ROUND($B$12*$B$13^(A222-1)*$B$14^INT(A222/5),0)</x:f>
        <x:v>429029456489105</x:v>
      </x:c>
      <x:c r="G222" s="1"/>
      <x:c r="H222" s="1"/>
    </x:row>
    <x:row r="223" ht="21" customHeight="1">
      <x:c r="A223" s="1" t="n">
        <x:v>200</x:v>
      </x:c>
      <x:c r="B223" s="7" t="n">
        <x:f>ROUND($B$6*$B$7^(A223-1),0)</x:f>
        <x:v>570898342181839</x:v>
      </x:c>
      <x:c r="C223" s="7" t="n">
        <x:f>ROUND(B223*$B$15,0)</x:f>
        <x:v>2740312042472827</x:v>
      </x:c>
      <x:c r="D223" s="7" t="n">
        <x:f>ROUND($B$8*$B$9^(A223-1),0)</x:f>
        <x:v>120896119520860</x:v>
      </x:c>
      <x:c r="E223" s="7" t="n">
        <x:f>ROUND($B$10*$B$11^(A223-1),0)</x:f>
        <x:v>3629041703951490</x:v>
      </x:c>
      <x:c r="F223" s="7" t="n">
        <x:f>ROUND($B$12*$B$13^(A223-1)*$B$14^INT(A223/5),0)</x:f>
        <x:v>542722262458717</x:v>
      </x:c>
      <x:c r="G223" s="1"/>
      <x:c r="H223" s="1"/>
    </x:row>
    <x:row r="224" ht="21" customHeight="1">
      <x:c r="A224" s="1"/>
      <x:c r="B224" s="1"/>
      <x:c r="C224" s="1"/>
      <x:c r="D224" s="1"/>
      <x:c r="E224" s="1"/>
      <x:c r="F224" s="1"/>
      <x:c r="G224" s="1"/>
      <x:c r="H224" s="1"/>
    </x:row>
    <x:row r="225" ht="21" customHeight="1">
      <x:c r="A225" s="1"/>
      <x:c r="B225" s="1"/>
      <x:c r="C225" s="1"/>
      <x:c r="D225" s="1"/>
      <x:c r="E225" s="1"/>
      <x:c r="F225" s="1"/>
      <x:c r="G225" s="1"/>
      <x:c r="H225" s="1"/>
    </x:row>
    <x:row r="226" ht="21" customHeight="1">
      <x:c r="A226" s="1"/>
      <x:c r="B226" s="1"/>
      <x:c r="C226" s="1"/>
      <x:c r="D226" s="1"/>
      <x:c r="E226" s="1"/>
      <x:c r="F226" s="1"/>
      <x:c r="G226" s="1"/>
      <x:c r="H226" s="1"/>
    </x:row>
    <x:row r="227" ht="21" customHeight="1">
      <x:c r="A227" s="1"/>
      <x:c r="B227" s="1"/>
      <x:c r="C227" s="1"/>
      <x:c r="D227" s="1"/>
      <x:c r="E227" s="1"/>
      <x:c r="F227" s="1"/>
      <x:c r="G227" s="1"/>
      <x:c r="H227" s="1"/>
    </x:row>
    <x:row r="228" ht="21" customHeight="1">
      <x:c r="A228" s="1"/>
      <x:c r="B228" s="1"/>
      <x:c r="C228" s="1"/>
      <x:c r="D228" s="1"/>
      <x:c r="E228" s="1"/>
      <x:c r="F228" s="1"/>
      <x:c r="G228" s="1"/>
      <x:c r="H228" s="1"/>
    </x:row>
    <x:row r="229" ht="21" customHeight="1">
      <x:c r="A229" s="1"/>
      <x:c r="B229" s="1"/>
      <x:c r="C229" s="1"/>
      <x:c r="D229" s="1"/>
      <x:c r="E229" s="1"/>
      <x:c r="F229" s="1"/>
      <x:c r="G229" s="1"/>
      <x:c r="H229" s="1"/>
    </x:row>
    <x:row r="230" ht="21" customHeight="1">
      <x:c r="A230" s="1"/>
      <x:c r="B230" s="1"/>
      <x:c r="C230" s="1"/>
      <x:c r="D230" s="1"/>
      <x:c r="E230" s="1"/>
      <x:c r="F230" s="1"/>
      <x:c r="G230" s="1"/>
      <x:c r="H230" s="1"/>
    </x:row>
    <x:row r="231" ht="21" customHeight="1">
      <x:c r="A231" s="1"/>
      <x:c r="B231" s="1"/>
      <x:c r="C231" s="1"/>
      <x:c r="D231" s="1"/>
      <x:c r="E231" s="1"/>
      <x:c r="F231" s="1"/>
      <x:c r="G231" s="1"/>
      <x:c r="H231" s="1"/>
    </x:row>
    <x:row r="232" ht="21" customHeight="1">
      <x:c r="A232" s="1"/>
      <x:c r="B232" s="1"/>
      <x:c r="C232" s="1"/>
      <x:c r="D232" s="1"/>
      <x:c r="E232" s="1"/>
      <x:c r="F232" s="1"/>
      <x:c r="G232" s="1"/>
      <x:c r="H232" s="1"/>
    </x:row>
    <x:row r="233" ht="21" customHeight="1">
      <x:c r="A233" s="1"/>
      <x:c r="B233" s="1"/>
      <x:c r="C233" s="1"/>
      <x:c r="D233" s="1"/>
      <x:c r="E233" s="1"/>
      <x:c r="F233" s="1"/>
      <x:c r="G233" s="1"/>
      <x:c r="H233" s="1"/>
    </x:row>
    <x:row r="234" ht="21" customHeight="1">
      <x:c r="A234" s="1"/>
      <x:c r="B234" s="1"/>
      <x:c r="C234" s="1"/>
      <x:c r="D234" s="1"/>
      <x:c r="E234" s="1"/>
      <x:c r="F234" s="1"/>
      <x:c r="G234" s="1"/>
      <x:c r="H234" s="1"/>
    </x:row>
    <x:row r="235" ht="21" customHeight="1">
      <x:c r="A235" s="1"/>
      <x:c r="B235" s="1"/>
      <x:c r="C235" s="1"/>
      <x:c r="D235" s="1"/>
      <x:c r="E235" s="1"/>
      <x:c r="F235" s="1"/>
      <x:c r="G235" s="1"/>
      <x:c r="H235" s="1"/>
    </x:row>
    <x:row r="236" ht="21" customHeight="1">
      <x:c r="A236" s="1"/>
      <x:c r="B236" s="1"/>
      <x:c r="C236" s="1"/>
      <x:c r="D236" s="1"/>
      <x:c r="E236" s="1"/>
      <x:c r="F236" s="1"/>
      <x:c r="G236" s="1"/>
      <x:c r="H236" s="1"/>
    </x:row>
    <x:row r="237" ht="21" customHeight="1">
      <x:c r="A237" s="1"/>
      <x:c r="B237" s="1"/>
      <x:c r="C237" s="1"/>
      <x:c r="D237" s="1"/>
      <x:c r="E237" s="1"/>
      <x:c r="F237" s="1"/>
      <x:c r="G237" s="1"/>
      <x:c r="H237" s="1"/>
    </x:row>
    <x:row r="238" ht="21" customHeight="1">
      <x:c r="A238" s="1"/>
      <x:c r="B238" s="1"/>
      <x:c r="C238" s="1"/>
      <x:c r="D238" s="1"/>
      <x:c r="E238" s="1"/>
      <x:c r="F238" s="1"/>
      <x:c r="G238" s="1"/>
      <x:c r="H238" s="1"/>
    </x:row>
    <x:row r="239" ht="21" customHeight="1">
      <x:c r="A239" s="1"/>
      <x:c r="B239" s="1"/>
      <x:c r="C239" s="1"/>
      <x:c r="D239" s="1"/>
      <x:c r="E239" s="1"/>
      <x:c r="F239" s="1"/>
      <x:c r="G239" s="1"/>
      <x:c r="H239" s="1"/>
    </x:row>
    <x:row r="240" ht="21" customHeight="1">
      <x:c r="A240" s="1"/>
      <x:c r="B240" s="1"/>
      <x:c r="C240" s="1"/>
      <x:c r="D240" s="1"/>
      <x:c r="E240" s="1"/>
      <x:c r="F240" s="1"/>
      <x:c r="G240" s="1"/>
      <x:c r="H240" s="1"/>
    </x:row>
    <x:row r="241" ht="21" customHeight="1">
      <x:c r="A241" s="1"/>
      <x:c r="B241" s="1"/>
      <x:c r="C241" s="1"/>
      <x:c r="D241" s="1"/>
      <x:c r="E241" s="1"/>
      <x:c r="F241" s="1"/>
      <x:c r="G241" s="1"/>
      <x:c r="H241" s="1"/>
    </x:row>
    <x:row r="242" ht="21" customHeight="1">
      <x:c r="A242" s="1"/>
      <x:c r="B242" s="1"/>
      <x:c r="C242" s="1"/>
      <x:c r="D242" s="1"/>
      <x:c r="E242" s="1"/>
      <x:c r="F242" s="1"/>
      <x:c r="G242" s="1"/>
      <x:c r="H242" s="1"/>
    </x:row>
    <x:row r="243" ht="21" customHeight="1">
      <x:c r="A243" s="1"/>
      <x:c r="B243" s="1"/>
      <x:c r="C243" s="1"/>
      <x:c r="D243" s="1"/>
      <x:c r="E243" s="1"/>
      <x:c r="F243" s="1"/>
      <x:c r="G243" s="1"/>
      <x:c r="H243" s="1"/>
    </x:row>
    <x:row r="244" ht="21" customHeight="1">
      <x:c r="A244" s="1"/>
      <x:c r="B244" s="1"/>
      <x:c r="C244" s="1"/>
      <x:c r="D244" s="1"/>
      <x:c r="E244" s="1"/>
      <x:c r="F244" s="1"/>
      <x:c r="G244" s="1"/>
      <x:c r="H244" s="1"/>
    </x:row>
    <x:row r="245" ht="21" customHeight="1">
      <x:c r="A245" s="1"/>
      <x:c r="B245" s="1"/>
      <x:c r="C245" s="1"/>
      <x:c r="D245" s="1"/>
      <x:c r="E245" s="1"/>
      <x:c r="F245" s="1"/>
      <x:c r="G245" s="1"/>
      <x:c r="H245" s="1"/>
    </x:row>
    <x:row r="246" ht="21" customHeight="1">
      <x:c r="A246" s="1"/>
      <x:c r="B246" s="1"/>
      <x:c r="C246" s="1"/>
      <x:c r="D246" s="1"/>
      <x:c r="E246" s="1"/>
      <x:c r="F246" s="1"/>
      <x:c r="G246" s="1"/>
      <x:c r="H246" s="1"/>
    </x:row>
    <x:row r="247" ht="21" customHeight="1">
      <x:c r="A247" s="1"/>
      <x:c r="B247" s="1"/>
      <x:c r="C247" s="1"/>
      <x:c r="D247" s="1"/>
      <x:c r="E247" s="1"/>
      <x:c r="F247" s="1"/>
      <x:c r="G247" s="1"/>
      <x:c r="H247" s="1"/>
    </x:row>
    <x:row r="248" ht="21" customHeight="1">
      <x:c r="A248" s="1"/>
      <x:c r="B248" s="1"/>
      <x:c r="C248" s="1"/>
      <x:c r="D248" s="1"/>
      <x:c r="E248" s="1"/>
      <x:c r="F248" s="1"/>
      <x:c r="G248" s="1"/>
      <x:c r="H248" s="1"/>
    </x:row>
    <x:row r="249" ht="21" customHeight="1">
      <x:c r="A249" s="1"/>
      <x:c r="B249" s="1"/>
      <x:c r="C249" s="1"/>
      <x:c r="D249" s="1"/>
      <x:c r="E249" s="1"/>
      <x:c r="F249" s="1"/>
      <x:c r="G249" s="1"/>
      <x:c r="H249" s="1"/>
    </x:row>
    <x:row r="250" ht="21" customHeight="1">
      <x:c r="A250" s="1"/>
      <x:c r="B250" s="1"/>
      <x:c r="C250" s="1"/>
      <x:c r="D250" s="1"/>
      <x:c r="E250" s="1"/>
      <x:c r="F250" s="1"/>
      <x:c r="G250" s="1"/>
      <x:c r="H25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75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</x:row>
    <x:row r="2" ht="21" customHeight="1">
      <x:c r="A2" s="2" t="str">
        <x:v>90-day economy simulation</x:v>
      </x:c>
      <x:c r="B2" s="1"/>
      <x:c r="C2" s="1"/>
      <x:c r="D2" s="1"/>
      <x:c r="E2" s="1"/>
      <x:c r="F2" s="1"/>
      <x:c r="G2" s="1"/>
      <x:c r="H2" s="1"/>
    </x:row>
    <x:row r="3" ht="21" customHeight="1">
      <x:c r="A3" s="1" t="str">
        <x:v>Four deterministic bots. Active play only; no paid power or offline rewards.</x:v>
      </x:c>
      <x:c r="B3" s="1"/>
      <x:c r="C3" s="1"/>
      <x:c r="D3" s="1"/>
      <x:c r="E3" s="1"/>
      <x:c r="F3" s="1"/>
      <x:c r="G3" s="1"/>
      <x:c r="H3" s="1"/>
    </x:row>
    <x:row r="4" ht="21" customHeight="1">
      <x:c r="A4" s="1"/>
      <x:c r="B4" s="1"/>
      <x:c r="C4" s="1"/>
      <x:c r="D4" s="1"/>
      <x:c r="E4" s="1"/>
      <x:c r="F4" s="1"/>
      <x:c r="G4" s="1"/>
      <x:c r="H4" s="1"/>
    </x:row>
    <x:row r="5" ht="26" customHeight="1">
      <x:c r="A5" s="4" t="str">
        <x:v>Profile</x:v>
      </x:c>
      <x:c r="B5" s="4" t="str">
        <x:v>Day</x:v>
      </x:c>
      <x:c r="C5" s="4" t="str">
        <x:v>Max floor</x:v>
      </x:c>
      <x:c r="D5" s="4" t="str">
        <x:v>Hero level</x:v>
      </x:c>
      <x:c r="E5" s="4" t="str">
        <x:v>Earned gold</x:v>
      </x:c>
      <x:c r="F5" s="4" t="str">
        <x:v>Spent gold</x:v>
      </x:c>
      <x:c r="G5" s="4" t="str">
        <x:v>Wallet gold</x:v>
      </x:c>
      <x:c r="H5" s="4" t="str">
        <x:v>Earn / spend</x:v>
      </x:c>
      <x:c r="I5" t="str">
        <x:v>Source: economy-90-days.json (2026-10-16)</x:v>
      </x:c>
    </x:row>
    <x:row r="6" ht="21" customHeight="1">
      <x:c r="A6" s="1" t="str">
        <x:v>Casual</x:v>
      </x:c>
      <x:c r="B6" s="1" t="n">
        <x:v>1</x:v>
      </x:c>
      <x:c r="C6" s="1" t="n">
        <x:v>206</x:v>
      </x:c>
      <x:c r="D6" s="1" t="n">
        <x:v>199</x:v>
      </x:c>
      <x:c r="E6" s="7" t="n">
        <x:v>36160104083261224</x:v>
      </x:c>
      <x:c r="F6" s="7" t="n">
        <x:v>18764111514107880</x:v>
      </x:c>
      <x:c r="G6" s="7" t="n">
        <x:v>17395992569153436</x:v>
      </x:c>
      <x:c r="H6" s="9" t="n">
        <x:f>IF(F6=0,"No spend",E6/F6)</x:f>
        <x:v>1.927088530468074</x:v>
      </x:c>
      <x:c r="I6" t="str">
        <x:v>Ratios compare one day. Review a 7-day sum before judging inflation.</x:v>
      </x:c>
    </x:row>
    <x:row r="7" ht="21" customHeight="1">
      <x:c r="A7" s="1" t="str">
        <x:v>Casual</x:v>
      </x:c>
      <x:c r="B7" s="1" t="n">
        <x:v>2</x:v>
      </x:c>
      <x:c r="C7" s="1" t="n">
        <x:v>435</x:v>
      </x:c>
      <x:c r="D7" s="1" t="n">
        <x:v>409</x:v>
      </x:c>
      <x:c r="E7" s="7" t="n">
        <x:v>2.590338800914966e+31</x:v>
      </x:c>
      <x:c r="F7" s="7" t="n">
        <x:v>2.1274488424452243e+31</x:v>
      </x:c>
      <x:c r="G7" s="7" t="n">
        <x:v>4.6288995846974375e+30</x:v>
      </x:c>
      <x:c r="H7" s="9" t="n">
        <x:f>IF(F7=0,"No spend",E7/F7)</x:f>
        <x:v>1.2175798304685486</x:v>
      </x:c>
    </x:row>
    <x:row r="8" ht="21" customHeight="1">
      <x:c r="A8" s="1" t="str">
        <x:v>Casual</x:v>
      </x:c>
      <x:c r="B8" s="1" t="n">
        <x:v>3</x:v>
      </x:c>
      <x:c r="C8" s="1" t="n">
        <x:v>660</x:v>
      </x:c>
      <x:c r="D8" s="1" t="n">
        <x:v>613</x:v>
      </x:c>
      <x:c r="E8" s="7" t="n">
        <x:v>1.4303208001285816e+46</x:v>
      </x:c>
      <x:c r="F8" s="7" t="n">
        <x:v>9.812698866284855e+45</x:v>
      </x:c>
      <x:c r="G8" s="7" t="n">
        <x:v>4.490509135000966e+45</x:v>
      </x:c>
      <x:c r="H8" s="9" t="n">
        <x:f>IF(F8=0,"No spend",E8/F8)</x:f>
        <x:v>1.4576222297445365</x:v>
      </x:c>
    </x:row>
    <x:row r="9" ht="21" customHeight="1">
      <x:c r="A9" s="1" t="str">
        <x:v>Casual</x:v>
      </x:c>
      <x:c r="B9" s="1" t="n">
        <x:v>4</x:v>
      </x:c>
      <x:c r="C9" s="1" t="n">
        <x:v>860</x:v>
      </x:c>
      <x:c r="D9" s="1" t="n">
        <x:v>790</x:v>
      </x:c>
      <x:c r="E9" s="7" t="n">
        <x:v>6.098300230168998e+58</x:v>
      </x:c>
      <x:c r="F9" s="7" t="n">
        <x:v>5.186850919478033e+58</x:v>
      </x:c>
      <x:c r="G9" s="7" t="n">
        <x:v>9.11449310691412e+57</x:v>
      </x:c>
      <x:c r="H9" s="9" t="n">
        <x:f>IF(F9=0,"No spend",E9/F9)</x:f>
        <x:v>1.17572305910475</x:v>
      </x:c>
    </x:row>
    <x:row r="10" ht="21" customHeight="1">
      <x:c r="A10" s="1" t="str">
        <x:v>Casual</x:v>
      </x:c>
      <x:c r="B10" s="1" t="n">
        <x:v>5</x:v>
      </x:c>
      <x:c r="C10" s="1" t="n">
        <x:v>1000</x:v>
      </x:c>
      <x:c r="D10" s="1" t="n">
        <x:v>924</x:v>
      </x:c>
      <x:c r="E10" s="7" t="n">
        <x:v>2.771210840506e+68</x:v>
      </x:c>
      <x:c r="F10" s="7" t="n">
        <x:v>2.2237847284904796e+68</x:v>
      </x:c>
      <x:c r="G10" s="7" t="n">
        <x:v>5.474261121066665e+67</x:v>
      </x:c>
      <x:c r="H10" s="9" t="n">
        <x:f>IF(F10=0,"No spend",E10/F10)</x:f>
        <x:v>1.246168662371882</x:v>
      </x:c>
    </x:row>
    <x:row r="11" ht="21" customHeight="1">
      <x:c r="A11" s="1" t="str">
        <x:v>Casual</x:v>
      </x:c>
      <x:c r="B11" s="1" t="n">
        <x:v>6</x:v>
      </x:c>
      <x:c r="C11" s="1" t="n">
        <x:v>1000</x:v>
      </x:c>
      <x:c r="D11" s="1" t="n">
        <x:v>939</x:v>
      </x:c>
      <x:c r="E11" s="7" t="n">
        <x:v>2.6565561724345695e+69</x:v>
      </x:c>
      <x:c r="F11" s="7" t="n">
        <x:v>2.440325296892407e+69</x:v>
      </x:c>
      <x:c r="G11" s="7" t="n">
        <x:v>2.709734867528281e+68</x:v>
      </x:c>
      <x:c r="H11" s="9" t="n">
        <x:f>IF(F11=0,"No spend",E11/F11)</x:f>
        <x:v>1.0886073982913336</x:v>
      </x:c>
    </x:row>
    <x:row r="12" ht="21" customHeight="1">
      <x:c r="A12" s="1" t="str">
        <x:v>Casual</x:v>
      </x:c>
      <x:c r="B12" s="1" t="n">
        <x:v>7</x:v>
      </x:c>
      <x:c r="C12" s="1" t="n">
        <x:v>1000</x:v>
      </x:c>
      <x:c r="D12" s="1" t="n">
        <x:v>942</x:v>
      </x:c>
      <x:c r="E12" s="7" t="n">
        <x:v>2.789746282783899e+69</x:v>
      </x:c>
      <x:c r="F12" s="7" t="n">
        <x:v>2.0878594275178457e+69</x:v>
      </x:c>
      <x:c r="G12" s="7" t="n">
        <x:v>9.728603420188817e+68</x:v>
      </x:c>
      <x:c r="H12" s="9" t="n">
        <x:f>IF(F12=0,"No spend",E12/F12)</x:f>
        <x:v>1.3361753411246142</x:v>
      </x:c>
    </x:row>
    <x:row r="13" ht="21" customHeight="1">
      <x:c r="A13" s="1" t="str">
        <x:v>Casual</x:v>
      </x:c>
      <x:c r="B13" s="1" t="n">
        <x:v>8</x:v>
      </x:c>
      <x:c r="C13" s="1" t="n">
        <x:v>1000</x:v>
      </x:c>
      <x:c r="D13" s="1" t="n">
        <x:v>944</x:v>
      </x:c>
      <x:c r="E13" s="7" t="n">
        <x:v>2.7897462827838965e+69</x:v>
      </x:c>
      <x:c r="F13" s="7" t="n">
        <x:v>2.242631678942361e+69</x:v>
      </x:c>
      <x:c r="G13" s="7" t="n">
        <x:v>1.5199749458604207e+69</x:v>
      </x:c>
      <x:c r="H13" s="9" t="n">
        <x:f>IF(F13=0,"No spend",E13/F13)</x:f>
        <x:v>1.2439609718255467</x:v>
      </x:c>
    </x:row>
    <x:row r="14" ht="21" customHeight="1">
      <x:c r="A14" s="1" t="str">
        <x:v>Casual</x:v>
      </x:c>
      <x:c r="B14" s="1" t="n">
        <x:v>9</x:v>
      </x:c>
      <x:c r="C14" s="1" t="n">
        <x:v>1000</x:v>
      </x:c>
      <x:c r="D14" s="1" t="n">
        <x:v>946</x:v>
      </x:c>
      <x:c r="E14" s="7" t="n">
        <x:v>2.8361775662698985e+69</x:v>
      </x:c>
      <x:c r="F14" s="7" t="n">
        <x:v>2.39035216021623e+69</x:v>
      </x:c>
      <x:c r="G14" s="7" t="n">
        <x:v>1.9658003519140918e+69</x:v>
      </x:c>
      <x:c r="H14" s="9" t="n">
        <x:f>IF(F14=0,"No spend",E14/F14)</x:f>
        <x:v>1.1865103449917351</x:v>
      </x:c>
    </x:row>
    <x:row r="15" ht="21" customHeight="1">
      <x:c r="A15" s="1" t="str">
        <x:v>Casual</x:v>
      </x:c>
      <x:c r="B15" s="1" t="n">
        <x:v>10</x:v>
      </x:c>
      <x:c r="C15" s="1" t="n">
        <x:v>1000</x:v>
      </x:c>
      <x:c r="D15" s="1" t="n">
        <x:v>947</x:v>
      </x:c>
      <x:c r="E15" s="7" t="n">
        <x:v>2.9290401332418994e+69</x:v>
      </x:c>
      <x:c r="F15" s="7" t="n">
        <x:v>2.2630403716112774e+69</x:v>
      </x:c>
      <x:c r="G15" s="7" t="n">
        <x:v>2.6318001135447176e+69</x:v>
      </x:c>
      <x:c r="H15" s="9" t="n">
        <x:f>IF(F15=0,"No spend",E15/F15)</x:f>
        <x:v>1.294294246795267</x:v>
      </x:c>
    </x:row>
    <x:row r="16" ht="21" customHeight="1">
      <x:c r="A16" s="1" t="str">
        <x:v>Casual</x:v>
      </x:c>
      <x:c r="B16" s="1" t="n">
        <x:v>11</x:v>
      </x:c>
      <x:c r="C16" s="1" t="n">
        <x:v>1000</x:v>
      </x:c>
      <x:c r="D16" s="1" t="n">
        <x:v>948</x:v>
      </x:c>
      <x:c r="E16" s="7" t="n">
        <x:v>2.836177566269903e+69</x:v>
      </x:c>
      <x:c r="F16" s="7" t="n">
        <x:v>2.8323703750563765e+69</x:v>
      </x:c>
      <x:c r="G16" s="7" t="n">
        <x:v>2.635607304758242e+69</x:v>
      </x:c>
      <x:c r="H16" s="9" t="n">
        <x:f>IF(F16=0,"No spend",E16/F16)</x:f>
        <x:v>1.00134417138629</x:v>
      </x:c>
    </x:row>
    <x:row r="17" ht="21" customHeight="1">
      <x:c r="A17" s="1" t="str">
        <x:v>Casual</x:v>
      </x:c>
      <x:c r="B17" s="1" t="n">
        <x:v>12</x:v>
      </x:c>
      <x:c r="C17" s="1" t="n">
        <x:v>1000</x:v>
      </x:c>
      <x:c r="D17" s="1" t="n">
        <x:v>949</x:v>
      </x:c>
      <x:c r="E17" s="7" t="n">
        <x:v>2.836177566269903e+69</x:v>
      </x:c>
      <x:c r="F17" s="7" t="n">
        <x:v>2.125853948071184e+69</x:v>
      </x:c>
      <x:c r="G17" s="7" t="n">
        <x:v>3.345930922956958e+69</x:v>
      </x:c>
      <x:c r="H17" s="9" t="n">
        <x:f>IF(F17=0,"No spend",E17/F17)</x:f>
        <x:v>1.3341356629147574</x:v>
      </x:c>
    </x:row>
    <x:row r="18" ht="21" customHeight="1">
      <x:c r="A18" s="1" t="str">
        <x:v>Casual</x:v>
      </x:c>
      <x:c r="B18" s="1" t="n">
        <x:v>13</x:v>
      </x:c>
      <x:c r="C18" s="1" t="n">
        <x:v>1000</x:v>
      </x:c>
      <x:c r="D18" s="1" t="n">
        <x:v>950</x:v>
      </x:c>
      <x:c r="E18" s="7" t="n">
        <x:v>2.8168311981507368e+69</x:v>
      </x:c>
      <x:c r="F18" s="7" t="n">
        <x:v>2.5085076587239977e+69</x:v>
      </x:c>
      <x:c r="G18" s="7" t="n">
        <x:v>3.654254462383694e+69</x:v>
      </x:c>
      <x:c r="H18" s="9" t="n">
        <x:f>IF(F18=0,"No spend",E18/F18)</x:f>
        <x:v>1.122911141353092</x:v>
      </x:c>
    </x:row>
    <x:row r="19" ht="21" customHeight="1">
      <x:c r="A19" s="1" t="str">
        <x:v>Casual</x:v>
      </x:c>
      <x:c r="B19" s="1" t="n">
        <x:v>14</x:v>
      </x:c>
      <x:c r="C19" s="1" t="n">
        <x:v>1000</x:v>
      </x:c>
      <x:c r="D19" s="1" t="n">
        <x:v>951</x:v>
      </x:c>
      <x:c r="E19" s="7" t="n">
        <x:v>2.7897462827839003e+69</x:v>
      </x:c>
      <x:c r="F19" s="7" t="n">
        <x:v>4.403157962966754e+69</x:v>
      </x:c>
      <x:c r="G19" s="7" t="n">
        <x:v>2.0408427822008395e+69</x:v>
      </x:c>
      <x:c r="H19" s="9" t="n">
        <x:f>IF(F19=0,"No spend",E19/F19)</x:f>
        <x:v>0.6335785148403418</x:v>
      </x:c>
    </x:row>
    <x:row r="20" ht="21" customHeight="1">
      <x:c r="A20" s="1" t="str">
        <x:v>Casual</x:v>
      </x:c>
      <x:c r="B20" s="1" t="n">
        <x:v>15</x:v>
      </x:c>
      <x:c r="C20" s="1" t="n">
        <x:v>1000</x:v>
      </x:c>
      <x:c r="D20" s="1" t="n">
        <x:v>951</x:v>
      </x:c>
      <x:c r="E20" s="7" t="n">
        <x:v>2.7239686311787313e+69</x:v>
      </x:c>
      <x:c r="F20" s="7" t="n">
        <x:v>0</x:v>
      </x:c>
      <x:c r="G20" s="7" t="n">
        <x:v>4.76481141337957e+69</x:v>
      </x:c>
      <x:c r="H20" s="9" t="str">
        <x:f>IF(F20=0,"No spend",E20/F20)</x:f>
        <x:v>No spend</x:v>
      </x:c>
    </x:row>
    <x:row r="21" ht="21" customHeight="1">
      <x:c r="A21" s="1" t="str">
        <x:v>Casual</x:v>
      </x:c>
      <x:c r="B21" s="1" t="n">
        <x:v>16</x:v>
      </x:c>
      <x:c r="C21" s="1" t="n">
        <x:v>1000</x:v>
      </x:c>
      <x:c r="D21" s="1" t="n">
        <x:v>952</x:v>
      </x:c>
      <x:c r="E21" s="7" t="n">
        <x:v>2.7897462827838972e+69</x:v>
      </x:c>
      <x:c r="F21" s="7" t="n">
        <x:v>3.4928460640072916e+69</x:v>
      </x:c>
      <x:c r="G21" s="7" t="n">
        <x:v>4.061711632156177e+69</x:v>
      </x:c>
      <x:c r="H21" s="9" t="n">
        <x:f>IF(F21=0,"No spend",E21/F21)</x:f>
        <x:v>0.7987029006320598</x:v>
      </x:c>
    </x:row>
    <x:row r="22" ht="21" customHeight="1">
      <x:c r="A22" s="1" t="str">
        <x:v>Casual</x:v>
      </x:c>
      <x:c r="B22" s="1" t="n">
        <x:v>17</x:v>
      </x:c>
      <x:c r="C22" s="1" t="n">
        <x:v>1000</x:v>
      </x:c>
      <x:c r="D22" s="1" t="n">
        <x:v>952</x:v>
      </x:c>
      <x:c r="E22" s="7" t="n">
        <x:v>2.836177566269894e+69</x:v>
      </x:c>
      <x:c r="F22" s="7" t="n">
        <x:v>2.020366495941409e+69</x:v>
      </x:c>
      <x:c r="G22" s="7" t="n">
        <x:v>4.877522702484666e+69</x:v>
      </x:c>
      <x:c r="H22" s="9" t="n">
        <x:f>IF(F22=0,"No spend",E22/F22)</x:f>
        <x:v>1.4037936047580069</x:v>
      </x:c>
    </x:row>
    <x:row r="23" ht="21" customHeight="1">
      <x:c r="A23" s="1" t="str">
        <x:v>Casual</x:v>
      </x:c>
      <x:c r="B23" s="1" t="n">
        <x:v>18</x:v>
      </x:c>
      <x:c r="C23" s="1" t="n">
        <x:v>1000</x:v>
      </x:c>
      <x:c r="D23" s="1" t="n">
        <x:v>953</x:v>
      </x:c>
      <x:c r="E23" s="7" t="n">
        <x:v>2.8168311981507245e+69</x:v>
      </x:c>
      <x:c r="F23" s="7" t="n">
        <x:v>4.1215583555286085e+69</x:v>
      </x:c>
      <x:c r="G23" s="7" t="n">
        <x:v>3.572795545106794e+69</x:v>
      </x:c>
      <x:c r="H23" s="9" t="n">
        <x:f>IF(F23=0,"No spend",E23/F23)</x:f>
        <x:v>0.6834383879030274</x:v>
      </x:c>
    </x:row>
    <x:row r="24" ht="21" customHeight="1">
      <x:c r="A24" s="1" t="str">
        <x:v>Casual</x:v>
      </x:c>
      <x:c r="B24" s="1" t="n">
        <x:v>19</x:v>
      </x:c>
      <x:c r="C24" s="1" t="n">
        <x:v>1000</x:v>
      </x:c>
      <x:c r="D24" s="1" t="n">
        <x:v>953</x:v>
      </x:c>
      <x:c r="E24" s="7" t="n">
        <x:v>2.8826088497558905e+69</x:v>
      </x:c>
      <x:c r="F24" s="7" t="n">
        <x:v>0</x:v>
      </x:c>
      <x:c r="G24" s="7" t="n">
        <x:v>6.455404394862696e+69</x:v>
      </x:c>
      <x:c r="H24" s="9" t="str">
        <x:f>IF(F24=0,"No spend",E24/F24)</x:f>
        <x:v>No spend</x:v>
      </x:c>
    </x:row>
    <x:row r="25" ht="21" customHeight="1">
      <x:c r="A25" s="1" t="str">
        <x:v>Casual</x:v>
      </x:c>
      <x:c r="B25" s="1" t="n">
        <x:v>20</x:v>
      </x:c>
      <x:c r="C25" s="1" t="n">
        <x:v>1000</x:v>
      </x:c>
      <x:c r="D25" s="1" t="n">
        <x:v>954</x:v>
      </x:c>
      <x:c r="E25" s="7" t="n">
        <x:v>2.7897462827838972e+69</x:v>
      </x:c>
      <x:c r="F25" s="7" t="n">
        <x:v>4.863438859523754e+69</x:v>
      </x:c>
      <x:c r="G25" s="7" t="n">
        <x:v>4.3817118181228406e+69</x:v>
      </x:c>
      <x:c r="H25" s="9" t="n">
        <x:f>IF(F25=0,"No spend",E25/F25)</x:f>
        <x:v>0.5736159872393419</x:v>
      </x:c>
    </x:row>
    <x:row r="26" ht="21" customHeight="1">
      <x:c r="A26" s="1" t="str">
        <x:v>Casual</x:v>
      </x:c>
      <x:c r="B26" s="1" t="n">
        <x:v>21</x:v>
      </x:c>
      <x:c r="C26" s="1" t="n">
        <x:v>1000</x:v>
      </x:c>
      <x:c r="D26" s="1" t="n">
        <x:v>954</x:v>
      </x:c>
      <x:c r="E26" s="7" t="n">
        <x:v>2.8168311981507245e+69</x:v>
      </x:c>
      <x:c r="F26" s="7" t="n">
        <x:v>0</x:v>
      </x:c>
      <x:c r="G26" s="7" t="n">
        <x:v>7.198543016273574e+69</x:v>
      </x:c>
      <x:c r="H26" s="9" t="str">
        <x:f>IF(F26=0,"No spend",E26/F26)</x:f>
        <x:v>No spend</x:v>
      </x:c>
    </x:row>
    <x:row r="27" ht="21" customHeight="1">
      <x:c r="A27" s="1" t="str">
        <x:v>Casual</x:v>
      </x:c>
      <x:c r="B27" s="1" t="n">
        <x:v>22</x:v>
      </x:c>
      <x:c r="C27" s="1" t="n">
        <x:v>1000</x:v>
      </x:c>
      <x:c r="D27" s="1" t="n">
        <x:v>954</x:v>
      </x:c>
      <x:c r="E27" s="7" t="n">
        <x:v>2.7897462827838972e+69</x:v>
      </x:c>
      <x:c r="F27" s="7" t="n">
        <x:v>2.828513094317979e+69</x:v>
      </x:c>
      <x:c r="G27" s="7" t="n">
        <x:v>7.1597762047395e+69</x:v>
      </x:c>
      <x:c r="H27" s="9" t="n">
        <x:f>IF(F27=0,"No spend",E27/F27)</x:f>
        <x:v>0.9862942789227465</x:v>
      </x:c>
    </x:row>
    <x:row r="28" ht="21" customHeight="1">
      <x:c r="A28" s="1" t="str">
        <x:v>Casual</x:v>
      </x:c>
      <x:c r="B28" s="1" t="n">
        <x:v>23</x:v>
      </x:c>
      <x:c r="C28" s="1" t="n">
        <x:v>1000</x:v>
      </x:c>
      <x:c r="D28" s="1" t="n">
        <x:v>955</x:v>
      </x:c>
      <x:c r="E28" s="7" t="n">
        <x:v>2.836177566269894e+69</x:v>
      </x:c>
      <x:c r="F28" s="7" t="n">
        <x:v>5.73885785423803e+69</x:v>
      </x:c>
      <x:c r="G28" s="7" t="n">
        <x:v>4.257095916771369e+69</x:v>
      </x:c>
      <x:c r="H28" s="9" t="n">
        <x:f>IF(F28=0,"No spend",E28/F28)</x:f>
        <x:v>0.4942059270862467</x:v>
      </x:c>
    </x:row>
    <x:row r="29" ht="21" customHeight="1">
      <x:c r="A29" s="1" t="str">
        <x:v>Casual</x:v>
      </x:c>
      <x:c r="B29" s="1" t="n">
        <x:v>24</x:v>
      </x:c>
      <x:c r="C29" s="1" t="n">
        <x:v>1000</x:v>
      </x:c>
      <x:c r="D29" s="1" t="n">
        <x:v>955</x:v>
      </x:c>
      <x:c r="E29" s="7" t="n">
        <x:v>2.8826088497558905e+69</x:v>
      </x:c>
      <x:c r="F29" s="7" t="n">
        <x:v>0</x:v>
      </x:c>
      <x:c r="G29" s="7" t="n">
        <x:v>7.139704766527269e+69</x:v>
      </x:c>
      <x:c r="H29" s="9" t="str">
        <x:f>IF(F29=0,"No spend",E29/F29)</x:f>
        <x:v>No spend</x:v>
      </x:c>
    </x:row>
    <x:row r="30" ht="21" customHeight="1">
      <x:c r="A30" s="1" t="str">
        <x:v>Casual</x:v>
      </x:c>
      <x:c r="B30" s="1" t="n">
        <x:v>25</x:v>
      </x:c>
      <x:c r="C30" s="1" t="n">
        <x:v>1000</x:v>
      </x:c>
      <x:c r="D30" s="1" t="n">
        <x:v>955</x:v>
      </x:c>
      <x:c r="E30" s="7" t="n">
        <x:v>2.6775373476927407e+69</x:v>
      </x:c>
      <x:c r="F30" s="7" t="n">
        <x:v>0</x:v>
      </x:c>
      <x:c r="G30" s="7" t="n">
        <x:v>9.81724211422e+69</x:v>
      </x:c>
      <x:c r="H30" s="9" t="str">
        <x:f>IF(F30=0,"No spend",E30/F30)</x:f>
        <x:v>No spend</x:v>
      </x:c>
    </x:row>
    <x:row r="31" ht="21" customHeight="1">
      <x:c r="A31" s="1" t="str">
        <x:v>Casual</x:v>
      </x:c>
      <x:c r="B31" s="1" t="n">
        <x:v>26</x:v>
      </x:c>
      <x:c r="C31" s="1" t="n">
        <x:v>1000</x:v>
      </x:c>
      <x:c r="D31" s="1" t="n">
        <x:v>956</x:v>
      </x:c>
      <x:c r="E31" s="7" t="n">
        <x:v>2.9019552178750844e+69</x:v>
      </x:c>
      <x:c r="F31" s="7" t="n">
        <x:v>6.771852268000873e+69</x:v>
      </x:c>
      <x:c r="G31" s="7" t="n">
        <x:v>5.947345064094108e+69</x:v>
      </x:c>
      <x:c r="H31" s="9" t="n">
        <x:f>IF(F31=0,"No spend",E31/F31)</x:f>
        <x:v>0.42853197367989454</x:v>
      </x:c>
    </x:row>
    <x:row r="32" ht="21" customHeight="1">
      <x:c r="A32" s="1" t="str">
        <x:v>Casual</x:v>
      </x:c>
      <x:c r="B32" s="1" t="n">
        <x:v>27</x:v>
      </x:c>
      <x:c r="C32" s="1" t="n">
        <x:v>1000</x:v>
      </x:c>
      <x:c r="D32" s="1" t="n">
        <x:v>956</x:v>
      </x:c>
      <x:c r="E32" s="7" t="n">
        <x:v>2.7433149992978945e+69</x:v>
      </x:c>
      <x:c r="F32" s="7" t="n">
        <x:v>8.612624939666295e+57</x:v>
      </x:c>
      <x:c r="G32" s="7" t="n">
        <x:v>8.690660063383375e+69</x:v>
      </x:c>
      <x:c r="H32" s="9" t="n">
        <x:f>IF(F32=0,"No spend",E32/F32)</x:f>
        <x:v>318522519965.2299</x:v>
      </x:c>
    </x:row>
    <x:row r="33" ht="21" customHeight="1">
      <x:c r="A33" s="1" t="str">
        <x:v>Casual</x:v>
      </x:c>
      <x:c r="B33" s="1" t="n">
        <x:v>28</x:v>
      </x:c>
      <x:c r="C33" s="1" t="n">
        <x:v>1000</x:v>
      </x:c>
      <x:c r="D33" s="1" t="n">
        <x:v>956</x:v>
      </x:c>
      <x:c r="E33" s="7" t="n">
        <x:v>2.92904013324193e+69</x:v>
      </x:c>
      <x:c r="F33" s="7" t="n">
        <x:v>3.959918332868143e+69</x:v>
      </x:c>
      <x:c r="G33" s="7" t="n">
        <x:v>7.65978186375712e+69</x:v>
      </x:c>
      <x:c r="H33" s="9" t="n">
        <x:f>IF(F33=0,"No spend",E33/F33)</x:f>
        <x:v>0.73967185356584</x:v>
      </x:c>
    </x:row>
    <x:row r="34" ht="21" customHeight="1">
      <x:c r="A34" s="1" t="str">
        <x:v>Casual</x:v>
      </x:c>
      <x:c r="B34" s="1" t="n">
        <x:v>29</x:v>
      </x:c>
      <x:c r="C34" s="1" t="n">
        <x:v>1000</x:v>
      </x:c>
      <x:c r="D34" s="1" t="n">
        <x:v>956</x:v>
      </x:c>
      <x:c r="E34" s="7" t="n">
        <x:v>2.882608849755921e+69</x:v>
      </x:c>
      <x:c r="F34" s="7" t="n">
        <x:v>7.850944005945131e+61</x:v>
      </x:c>
      <x:c r="G34" s="7" t="n">
        <x:v>1.0542390635003509e+70</x:v>
      </x:c>
      <x:c r="H34" s="9" t="n">
        <x:f>IF(F34=0,"No spend",E34/F34)</x:f>
        <x:v>36716716.45566526</x:v>
      </x:c>
    </x:row>
    <x:row r="35" ht="21" customHeight="1">
      <x:c r="A35" s="1" t="str">
        <x:v>Casual</x:v>
      </x:c>
      <x:c r="B35" s="1" t="n">
        <x:v>30</x:v>
      </x:c>
      <x:c r="C35" s="1" t="n">
        <x:v>1000</x:v>
      </x:c>
      <x:c r="D35" s="1" t="n">
        <x:v>957</x:v>
      </x:c>
      <x:c r="E35" s="7" t="n">
        <x:v>2.882608849755921e+69</x:v>
      </x:c>
      <x:c r="F35" s="7" t="n">
        <x:v>7.990793165751117e+69</x:v>
      </x:c>
      <x:c r="G35" s="7" t="n">
        <x:v>5.4342063190082785e+69</x:v>
      </x:c>
      <x:c r="H35" s="9" t="n">
        <x:f>IF(F35=0,"No spend",E35/F35)</x:f>
        <x:v>0.3607412668508186</x:v>
      </x:c>
    </x:row>
    <x:row r="36" ht="21" customHeight="1">
      <x:c r="A36" s="1" t="str">
        <x:v>Casual</x:v>
      </x:c>
      <x:c r="B36" s="1" t="n">
        <x:v>31</x:v>
      </x:c>
      <x:c r="C36" s="1" t="n">
        <x:v>1000</x:v>
      </x:c>
      <x:c r="D36" s="1" t="n">
        <x:v>957</x:v>
      </x:c>
      <x:c r="E36" s="7" t="n">
        <x:v>2.882608849755921e+69</x:v>
      </x:c>
      <x:c r="F36" s="7" t="n">
        <x:v>7.144709280837582e+65</x:v>
      </x:c>
      <x:c r="G36" s="7" t="n">
        <x:v>8.316100697836117e+69</x:v>
      </x:c>
      <x:c r="H36" s="9" t="n">
        <x:f>IF(F36=0,"No spend",E36/F36)</x:f>
        <x:v>4034.606219020279</x:v>
      </x:c>
    </x:row>
    <x:row r="37" ht="21" customHeight="1">
      <x:c r="A37" s="1" t="str">
        <x:v>Casual</x:v>
      </x:c>
      <x:c r="B37" s="1" t="n">
        <x:v>32</x:v>
      </x:c>
      <x:c r="C37" s="1" t="n">
        <x:v>1000</x:v>
      </x:c>
      <x:c r="D37" s="1" t="n">
        <x:v>957</x:v>
      </x:c>
      <x:c r="E37" s="7" t="n">
        <x:v>2.7433149992978945e+69</x:v>
      </x:c>
      <x:c r="F37" s="7" t="n">
        <x:v>6.815782343990091e+67</x:v>
      </x:c>
      <x:c r="G37" s="7" t="n">
        <x:v>1.0991257873694095e+70</x:v>
      </x:c>
      <x:c r="H37" s="9" t="n">
        <x:f>IF(F37=0,"No spend",E37/F37)</x:f>
        <x:v>40.249451359268384</x:v>
      </x:c>
    </x:row>
    <x:row r="38" ht="21" customHeight="1">
      <x:c r="A38" s="1" t="str">
        <x:v>Casual</x:v>
      </x:c>
      <x:c r="B38" s="1" t="n">
        <x:v>33</x:v>
      </x:c>
      <x:c r="C38" s="1" t="n">
        <x:v>1000</x:v>
      </x:c>
      <x:c r="D38" s="1" t="n">
        <x:v>957</x:v>
      </x:c>
      <x:c r="E38" s="7" t="n">
        <x:v>2.7897462827839034e+69</x:v>
      </x:c>
      <x:c r="F38" s="7" t="n">
        <x:v>6.5019984908630985e+69</x:v>
      </x:c>
      <x:c r="G38" s="7" t="n">
        <x:v>7.279005665614889e+69</x:v>
      </x:c>
      <x:c r="H38" s="9" t="n">
        <x:f>IF(F38=0,"No spend",E38/F38)</x:f>
        <x:v>0.4290598170245934</x:v>
      </x:c>
    </x:row>
    <x:row r="39" ht="21" customHeight="1">
      <x:c r="A39" s="1" t="str">
        <x:v>Casual</x:v>
      </x:c>
      <x:c r="B39" s="1" t="n">
        <x:v>34</x:v>
      </x:c>
      <x:c r="C39" s="1" t="n">
        <x:v>1000</x:v>
      </x:c>
      <x:c r="D39" s="1" t="n">
        <x:v>957</x:v>
      </x:c>
      <x:c r="E39" s="7" t="n">
        <x:v>2.8361775662699123e+69</x:v>
      </x:c>
      <x:c r="F39" s="7" t="n">
        <x:v>9.275250529993361e+69</x:v>
      </x:c>
      <x:c r="G39" s="7" t="n">
        <x:v>8.399327018914394e+68</x:v>
      </x:c>
      <x:c r="H39" s="9" t="n">
        <x:f>IF(F39=0,"No spend",E39/F39)</x:f>
        <x:v>0.3057790791848231</x:v>
      </x:c>
    </x:row>
    <x:row r="40" ht="21" customHeight="1">
      <x:c r="A40" s="1" t="str">
        <x:v>Casual</x:v>
      </x:c>
      <x:c r="B40" s="1" t="n">
        <x:v>35</x:v>
      </x:c>
      <x:c r="C40" s="1" t="n">
        <x:v>1000</x:v>
      </x:c>
      <x:c r="D40" s="1" t="n">
        <x:v>957</x:v>
      </x:c>
      <x:c r="E40" s="7" t="n">
        <x:v>2.8361775662699123e+69</x:v>
      </x:c>
      <x:c r="F40" s="7" t="n">
        <x:v>2.586471584272315e+69</x:v>
      </x:c>
      <x:c r="G40" s="7" t="n">
        <x:v>1.0896386838890148e+69</x:v>
      </x:c>
      <x:c r="H40" s="9" t="n">
        <x:f>IF(F40=0,"No spend",E40/F40)</x:f>
        <x:v>1.096543098913592</x:v>
      </x:c>
    </x:row>
    <x:row r="41" ht="21" customHeight="1">
      <x:c r="A41" s="1" t="str">
        <x:v>Casual</x:v>
      </x:c>
      <x:c r="B41" s="1" t="n">
        <x:v>36</x:v>
      </x:c>
      <x:c r="C41" s="1" t="n">
        <x:v>1000</x:v>
      </x:c>
      <x:c r="D41" s="1" t="n">
        <x:v>957</x:v>
      </x:c>
      <x:c r="E41" s="7" t="n">
        <x:v>2.8361775662699123e+69</x:v>
      </x:c>
      <x:c r="F41" s="7" t="n">
        <x:v>3.0359760937209343e+69</x:v>
      </x:c>
      <x:c r="G41" s="7" t="n">
        <x:v>8.898401564379778e+68</x:v>
      </x:c>
      <x:c r="H41" s="9" t="n">
        <x:f>IF(F41=0,"No spend",E41/F41)</x:f>
        <x:v>0.9341896901414181</x:v>
      </x:c>
    </x:row>
    <x:row r="42" ht="21" customHeight="1">
      <x:c r="A42" s="1" t="str">
        <x:v>Casual</x:v>
      </x:c>
      <x:c r="B42" s="1" t="n">
        <x:v>37</x:v>
      </x:c>
      <x:c r="C42" s="1" t="n">
        <x:v>1000</x:v>
      </x:c>
      <x:c r="D42" s="1" t="n">
        <x:v>957</x:v>
      </x:c>
      <x:c r="E42" s="7" t="n">
        <x:v>2.7897462827839034e+69</x:v>
      </x:c>
      <x:c r="F42" s="7" t="n">
        <x:v>2.8125627087671382e+69</x:v>
      </x:c>
      <x:c r="G42" s="7" t="n">
        <x:v>8.670237304547211e+68</x:v>
      </x:c>
      <x:c r="H42" s="9" t="n">
        <x:f>IF(F42=0,"No spend",E42/F42)</x:f>
        <x:v>0.9918876738598172</x:v>
      </x:c>
    </x:row>
    <x:row r="43" ht="21" customHeight="1">
      <x:c r="A43" s="1" t="str">
        <x:v>Casual</x:v>
      </x:c>
      <x:c r="B43" s="1" t="n">
        <x:v>38</x:v>
      </x:c>
      <x:c r="C43" s="1" t="n">
        <x:v>1000</x:v>
      </x:c>
      <x:c r="D43" s="1" t="n">
        <x:v>957</x:v>
      </x:c>
      <x:c r="E43" s="7" t="n">
        <x:v>2.8361775662699123e+69</x:v>
      </x:c>
      <x:c r="F43" s="7" t="n">
        <x:v>2.261805403585048e+69</x:v>
      </x:c>
      <x:c r="G43" s="7" t="n">
        <x:v>1.4413958931395648e+69</x:v>
      </x:c>
      <x:c r="H43" s="9" t="n">
        <x:f>IF(F43=0,"No spend",E43/F43)</x:f>
        <x:v>1.2539441110957037</x:v>
      </x:c>
    </x:row>
    <x:row r="44" ht="21" customHeight="1">
      <x:c r="A44" s="1" t="str">
        <x:v>Casual</x:v>
      </x:c>
      <x:c r="B44" s="1" t="n">
        <x:v>39</x:v>
      </x:c>
      <x:c r="C44" s="1" t="n">
        <x:v>1000</x:v>
      </x:c>
      <x:c r="D44" s="1" t="n">
        <x:v>957</x:v>
      </x:c>
      <x:c r="E44" s="7" t="n">
        <x:v>2.6968837158118856e+69</x:v>
      </x:c>
      <x:c r="F44" s="7" t="n">
        <x:v>2.594422450582183e+69</x:v>
      </x:c>
      <x:c r="G44" s="7" t="n">
        <x:v>1.5438571583692858e+69</x:v>
      </x:c>
      <x:c r="H44" s="9" t="n">
        <x:f>IF(F44=0,"No spend",E44/F44)</x:f>
        <x:v>1.0394928995494588</x:v>
      </x:c>
    </x:row>
    <x:row r="45" ht="21" customHeight="1">
      <x:c r="A45" s="1" t="str">
        <x:v>Casual</x:v>
      </x:c>
      <x:c r="B45" s="1" t="n">
        <x:v>40</x:v>
      </x:c>
      <x:c r="C45" s="1" t="n">
        <x:v>1000</x:v>
      </x:c>
      <x:c r="D45" s="1" t="n">
        <x:v>957</x:v>
      </x:c>
      <x:c r="E45" s="7" t="n">
        <x:v>2.816831198150749e+69</x:v>
      </x:c>
      <x:c r="F45" s="7" t="n">
        <x:v>2.71416648430206e+69</x:v>
      </x:c>
      <x:c r="G45" s="7" t="n">
        <x:v>1.646521872217951e+69</x:v>
      </x:c>
      <x:c r="H45" s="9" t="n">
        <x:f>IF(F45=0,"No spend",E45/F45)</x:f>
        <x:v>1.0378255034989459</x:v>
      </x:c>
    </x:row>
    <x:row r="46" ht="21" customHeight="1">
      <x:c r="A46" s="1" t="str">
        <x:v>Casual</x:v>
      </x:c>
      <x:c r="B46" s="1" t="n">
        <x:v>41</x:v>
      </x:c>
      <x:c r="C46" s="1" t="n">
        <x:v>1000</x:v>
      </x:c>
      <x:c r="D46" s="1" t="n">
        <x:v>957</x:v>
      </x:c>
      <x:c r="E46" s="7" t="n">
        <x:v>2.7897462827839034e+69</x:v>
      </x:c>
      <x:c r="F46" s="7" t="n">
        <x:v>3.1133069406986196e+69</x:v>
      </x:c>
      <x:c r="G46" s="7" t="n">
        <x:v>1.3229612143032392e+69</x:v>
      </x:c>
      <x:c r="H46" s="9" t="n">
        <x:f>IF(F46=0,"No spend",E46/F46)</x:f>
        <x:v>0.8960717127871402</x:v>
      </x:c>
    </x:row>
    <x:row r="47" ht="21" customHeight="1">
      <x:c r="A47" s="1" t="str">
        <x:v>Casual</x:v>
      </x:c>
      <x:c r="B47" s="1" t="n">
        <x:v>42</x:v>
      </x:c>
      <x:c r="C47" s="1" t="n">
        <x:v>1000</x:v>
      </x:c>
      <x:c r="D47" s="1" t="n">
        <x:v>957</x:v>
      </x:c>
      <x:c r="E47" s="7" t="n">
        <x:v>2.7433149992978945e+69</x:v>
      </x:c>
      <x:c r="F47" s="7" t="n">
        <x:v>2.132859749251171e+69</x:v>
      </x:c>
      <x:c r="G47" s="7" t="n">
        <x:v>1.9334164643499682e+69</x:v>
      </x:c>
      <x:c r="H47" s="9" t="n">
        <x:f>IF(F47=0,"No spend",E47/F47)</x:f>
        <x:v>1.2862144359285925</x:v>
      </x:c>
    </x:row>
    <x:row r="48" ht="21" customHeight="1">
      <x:c r="A48" s="1" t="str">
        <x:v>Casual</x:v>
      </x:c>
      <x:c r="B48" s="1" t="n">
        <x:v>43</x:v>
      </x:c>
      <x:c r="C48" s="1" t="n">
        <x:v>1000</x:v>
      </x:c>
      <x:c r="D48" s="1" t="n">
        <x:v>957</x:v>
      </x:c>
      <x:c r="E48" s="7" t="n">
        <x:v>2.8361775662699123e+69</x:v>
      </x:c>
      <x:c r="F48" s="7" t="n">
        <x:v>2.33253912556811e+69</x:v>
      </x:c>
      <x:c r="G48" s="7" t="n">
        <x:v>2.437054905051756e+69</x:v>
      </x:c>
      <x:c r="H48" s="9" t="n">
        <x:f>IF(F48=0,"No spend",E48/F48)</x:f>
        <x:v>1.2159185392352794</x:v>
      </x:c>
    </x:row>
    <x:row r="49" ht="21" customHeight="1">
      <x:c r="A49" s="1" t="str">
        <x:v>Casual</x:v>
      </x:c>
      <x:c r="B49" s="1" t="n">
        <x:v>44</x:v>
      </x:c>
      <x:c r="C49" s="1" t="n">
        <x:v>1000</x:v>
      </x:c>
      <x:c r="D49" s="1" t="n">
        <x:v>957</x:v>
      </x:c>
      <x:c r="E49" s="7" t="n">
        <x:v>2.863262481636758e+69</x:v>
      </x:c>
      <x:c r="F49" s="7" t="n">
        <x:v>3.804418914609349e+69</x:v>
      </x:c>
      <x:c r="G49" s="7" t="n">
        <x:v>1.4958984720791462e+69</x:v>
      </x:c>
      <x:c r="H49" s="9" t="n">
        <x:f>IF(F49=0,"No spend",E49/F49)</x:f>
        <x:v>0.752614931715733</x:v>
      </x:c>
    </x:row>
    <x:row r="50" ht="21" customHeight="1">
      <x:c r="A50" s="1" t="str">
        <x:v>Casual</x:v>
      </x:c>
      <x:c r="B50" s="1" t="n">
        <x:v>45</x:v>
      </x:c>
      <x:c r="C50" s="1" t="n">
        <x:v>1000</x:v>
      </x:c>
      <x:c r="D50" s="1" t="n">
        <x:v>957</x:v>
      </x:c>
      <x:c r="E50" s="7" t="n">
        <x:v>2.78974628278356e+69</x:v>
      </x:c>
      <x:c r="F50" s="7" t="n">
        <x:v>2.6315500579671714e+69</x:v>
      </x:c>
      <x:c r="G50" s="7" t="n">
        <x:v>1.6540946968958797e+69</x:v>
      </x:c>
      <x:c r="H50" s="9" t="n">
        <x:f>IF(F50=0,"No spend",E50/F50)</x:f>
        <x:v>1.060115225373517</x:v>
      </x:c>
    </x:row>
    <x:row r="51" ht="21" customHeight="1">
      <x:c r="A51" s="1" t="str">
        <x:v>Casual</x:v>
      </x:c>
      <x:c r="B51" s="1" t="n">
        <x:v>46</x:v>
      </x:c>
      <x:c r="C51" s="1" t="n">
        <x:v>1000</x:v>
      </x:c>
      <x:c r="D51" s="1" t="n">
        <x:v>957</x:v>
      </x:c>
      <x:c r="E51" s="7" t="n">
        <x:v>2.7897462827834988e+69</x:v>
      </x:c>
      <x:c r="F51" s="7" t="n">
        <x:v>1.450078912388169e+69</x:v>
      </x:c>
      <x:c r="G51" s="7" t="n">
        <x:v>2.993762067291619e+69</x:v>
      </x:c>
      <x:c r="H51" s="9" t="n">
        <x:f>IF(F51=0,"No spend",E51/F51)</x:f>
        <x:v>1.9238582527822574</x:v>
      </x:c>
    </x:row>
    <x:row r="52" ht="21" customHeight="1">
      <x:c r="A52" s="1" t="str">
        <x:v>Casual</x:v>
      </x:c>
      <x:c r="B52" s="1" t="n">
        <x:v>47</x:v>
      </x:c>
      <x:c r="C52" s="1" t="n">
        <x:v>1000</x:v>
      </x:c>
      <x:c r="D52" s="1" t="n">
        <x:v>957</x:v>
      </x:c>
      <x:c r="E52" s="7" t="n">
        <x:v>2.7897462827834988e+69</x:v>
      </x:c>
      <x:c r="F52" s="7" t="n">
        <x:v>3.033083082217851e+69</x:v>
      </x:c>
      <x:c r="G52" s="7" t="n">
        <x:v>2.750425267857679e+69</x:v>
      </x:c>
      <x:c r="H52" s="9" t="n">
        <x:f>IF(F52=0,"No spend",E52/F52)</x:f>
        <x:v>0.9197724583078616</x:v>
      </x:c>
    </x:row>
    <x:row r="53" ht="21" customHeight="1">
      <x:c r="A53" s="1" t="str">
        <x:v>Casual</x:v>
      </x:c>
      <x:c r="B53" s="1" t="n">
        <x:v>48</x:v>
      </x:c>
      <x:c r="C53" s="1" t="n">
        <x:v>1000</x:v>
      </x:c>
      <x:c r="D53" s="1" t="n">
        <x:v>957</x:v>
      </x:c>
      <x:c r="E53" s="7" t="n">
        <x:v>2.7897462827834988e+69</x:v>
      </x:c>
      <x:c r="F53" s="7" t="n">
        <x:v>3.0713180389216885e+69</x:v>
      </x:c>
      <x:c r="G53" s="7" t="n">
        <x:v>2.4688535117198952e+69</x:v>
      </x:c>
      <x:c r="H53" s="9" t="n">
        <x:f>IF(F53=0,"No spend",E53/F53)</x:f>
        <x:v>0.9083221755057815</x:v>
      </x:c>
    </x:row>
    <x:row r="54" ht="21" customHeight="1">
      <x:c r="A54" s="1" t="str">
        <x:v>Casual</x:v>
      </x:c>
      <x:c r="B54" s="1" t="n">
        <x:v>49</x:v>
      </x:c>
      <x:c r="C54" s="1" t="n">
        <x:v>1000</x:v>
      </x:c>
      <x:c r="D54" s="1" t="n">
        <x:v>957</x:v>
      </x:c>
      <x:c r="E54" s="7" t="n">
        <x:v>2.7703999146643356e+69</x:v>
      </x:c>
      <x:c r="F54" s="7" t="n">
        <x:v>3.3588563408180873e+69</x:v>
      </x:c>
      <x:c r="G54" s="7" t="n">
        <x:v>1.880397085566545e+69</x:v>
      </x:c>
      <x:c r="H54" s="9" t="n">
        <x:f>IF(F54=0,"No spend",E54/F54)</x:f>
        <x:v>0.8248045267662664</x:v>
      </x:c>
    </x:row>
    <x:row r="55" ht="21" customHeight="1">
      <x:c r="A55" s="1" t="str">
        <x:v>Casual</x:v>
      </x:c>
      <x:c r="B55" s="1" t="n">
        <x:v>50</x:v>
      </x:c>
      <x:c r="C55" s="1" t="n">
        <x:v>1000</x:v>
      </x:c>
      <x:c r="D55" s="1" t="n">
        <x:v>957</x:v>
      </x:c>
      <x:c r="E55" s="7" t="n">
        <x:v>2.7897462827834988e+69</x:v>
      </x:c>
      <x:c r="F55" s="7" t="n">
        <x:v>1.8070666665241077e+69</x:v>
      </x:c>
      <x:c r="G55" s="7" t="n">
        <x:v>2.8630767018263433e+69</x:v>
      </x:c>
      <x:c r="H55" s="9" t="n">
        <x:f>IF(F55=0,"No spend",E55/F55)</x:f>
        <x:v>1.5437982087011626</x:v>
      </x:c>
    </x:row>
    <x:row r="56" ht="21" customHeight="1">
      <x:c r="A56" s="1" t="str">
        <x:v>Casual</x:v>
      </x:c>
      <x:c r="B56" s="1" t="n">
        <x:v>51</x:v>
      </x:c>
      <x:c r="C56" s="1" t="n">
        <x:v>1000</x:v>
      </x:c>
      <x:c r="D56" s="1" t="n">
        <x:v>957</x:v>
      </x:c>
      <x:c r="E56" s="7" t="n">
        <x:v>2.743314999297502e+69</x:v>
      </x:c>
      <x:c r="F56" s="7" t="n">
        <x:v>3.6712965705133465e+69</x:v>
      </x:c>
      <x:c r="G56" s="7" t="n">
        <x:v>1.9350951306108867e+69</x:v>
      </x:c>
      <x:c r="H56" s="9" t="n">
        <x:f>IF(F56=0,"No spend",E56/F56)</x:f>
        <x:v>0.7472332857364101</x:v>
      </x:c>
    </x:row>
    <x:row r="57" ht="21" customHeight="1">
      <x:c r="A57" s="1" t="str">
        <x:v>Casual</x:v>
      </x:c>
      <x:c r="B57" s="1" t="n">
        <x:v>52</x:v>
      </x:c>
      <x:c r="C57" s="1" t="n">
        <x:v>1000</x:v>
      </x:c>
      <x:c r="D57" s="1" t="n">
        <x:v>957</x:v>
      </x:c>
      <x:c r="E57" s="7" t="n">
        <x:v>2.723968631178339e+69</x:v>
      </x:c>
      <x:c r="F57" s="7" t="n">
        <x:v>1.8469181083299737e+69</x:v>
      </x:c>
      <x:c r="G57" s="7" t="n">
        <x:v>2.8121456534596466e+69</x:v>
      </x:c>
      <x:c r="H57" s="9" t="n">
        <x:f>IF(F57=0,"No spend",E57/F57)</x:f>
        <x:v>1.4748724477239625</x:v>
      </x:c>
    </x:row>
    <x:row r="58" ht="21" customHeight="1">
      <x:c r="A58" s="1" t="str">
        <x:v>Casual</x:v>
      </x:c>
      <x:c r="B58" s="1" t="n">
        <x:v>53</x:v>
      </x:c>
      <x:c r="C58" s="1" t="n">
        <x:v>1000</x:v>
      </x:c>
      <x:c r="D58" s="1" t="n">
        <x:v>957</x:v>
      </x:c>
      <x:c r="E58" s="7" t="n">
        <x:v>2.743314999297502e+69</x:v>
      </x:c>
      <x:c r="F58" s="7" t="n">
        <x:v>1.9425139751427375e+69</x:v>
      </x:c>
      <x:c r="G58" s="7" t="n">
        <x:v>3.612946677614797e+69</x:v>
      </x:c>
      <x:c r="H58" s="9" t="n">
        <x:f>IF(F58=0,"No spend",E58/F58)</x:f>
        <x:v>1.4122498135931925</x:v>
      </x:c>
    </x:row>
    <x:row r="59" ht="21" customHeight="1">
      <x:c r="A59" s="1" t="str">
        <x:v>Casual</x:v>
      </x:c>
      <x:c r="B59" s="1" t="n">
        <x:v>54</x:v>
      </x:c>
      <x:c r="C59" s="1" t="n">
        <x:v>1000</x:v>
      </x:c>
      <x:c r="D59" s="1" t="n">
        <x:v>957</x:v>
      </x:c>
      <x:c r="E59" s="7" t="n">
        <x:v>2.9290401332414887e+69</x:v>
      </x:c>
      <x:c r="F59" s="7" t="n">
        <x:v>4.256593633667872e+69</x:v>
      </x:c>
      <x:c r="G59" s="7" t="n">
        <x:v>2.2853931771888275e+69</x:v>
      </x:c>
      <x:c r="H59" s="9" t="n">
        <x:f>IF(F59=0,"No spend",E59/F59)</x:f>
        <x:v>0.6881183371778806</x:v>
      </x:c>
    </x:row>
    <x:row r="60" ht="21" customHeight="1">
      <x:c r="A60" s="1" t="str">
        <x:v>Casual</x:v>
      </x:c>
      <x:c r="B60" s="1" t="n">
        <x:v>55</x:v>
      </x:c>
      <x:c r="C60" s="1" t="n">
        <x:v>1000</x:v>
      </x:c>
      <x:c r="D60" s="1" t="n">
        <x:v>957</x:v>
      </x:c>
      <x:c r="E60" s="7" t="n">
        <x:v>2.882608849755492e+69</x:v>
      </x:c>
      <x:c r="F60" s="7" t="n">
        <x:v>2.1991596385647587e+69</x:v>
      </x:c>
      <x:c r="G60" s="7" t="n">
        <x:v>2.968842388379963e+69</x:v>
      </x:c>
      <x:c r="H60" s="9" t="n">
        <x:f>IF(F60=0,"No spend",E60/F60)</x:f>
        <x:v>1.310777443895239</x:v>
      </x:c>
    </x:row>
    <x:row r="61" ht="21" customHeight="1">
      <x:c r="A61" s="1" t="str">
        <x:v>Casual</x:v>
      </x:c>
      <x:c r="B61" s="1" t="n">
        <x:v>56</x:v>
      </x:c>
      <x:c r="C61" s="1" t="n">
        <x:v>1000</x:v>
      </x:c>
      <x:c r="D61" s="1" t="n">
        <x:v>957</x:v>
      </x:c>
      <x:c r="E61" s="7" t="n">
        <x:v>2.7703999146643356e+69</x:v>
      </x:c>
      <x:c r="F61" s="7" t="n">
        <x:v>2.206396246051257e+69</x:v>
      </x:c>
      <x:c r="G61" s="7" t="n">
        <x:v>3.532846056993437e+69</x:v>
      </x:c>
      <x:c r="H61" s="9" t="n">
        <x:f>IF(F61=0,"No spend",E61/F61)</x:f>
        <x:v>1.2556221121307944</x:v>
      </x:c>
    </x:row>
    <x:row r="62" ht="21" customHeight="1">
      <x:c r="A62" s="1" t="str">
        <x:v>Casual</x:v>
      </x:c>
      <x:c r="B62" s="1" t="n">
        <x:v>57</x:v>
      </x:c>
      <x:c r="C62" s="1" t="n">
        <x:v>1000</x:v>
      </x:c>
      <x:c r="D62" s="1" t="n">
        <x:v>957</x:v>
      </x:c>
      <x:c r="E62" s="7" t="n">
        <x:v>2.7897462827834988e+69</x:v>
      </x:c>
      <x:c r="F62" s="7" t="n">
        <x:v>2.2163017299959635e+69</x:v>
      </x:c>
      <x:c r="G62" s="7" t="n">
        <x:v>4.106290609781372e+69</x:v>
      </x:c>
      <x:c r="H62" s="9" t="n">
        <x:f>IF(F62=0,"No spend",E62/F62)</x:f>
        <x:v>1.2587393877947204</x:v>
      </x:c>
    </x:row>
    <x:row r="63" ht="21" customHeight="1">
      <x:c r="A63" s="1" t="str">
        <x:v>Casual</x:v>
      </x:c>
      <x:c r="B63" s="1" t="n">
        <x:v>58</x:v>
      </x:c>
      <x:c r="C63" s="1" t="n">
        <x:v>1000</x:v>
      </x:c>
      <x:c r="D63" s="1" t="n">
        <x:v>957</x:v>
      </x:c>
      <x:c r="E63" s="7" t="n">
        <x:v>2.7897462827834988e+69</x:v>
      </x:c>
      <x:c r="F63" s="7" t="n">
        <x:v>2.331016770171295e+69</x:v>
      </x:c>
      <x:c r="G63" s="7" t="n">
        <x:v>4.565020122393973e+69</x:v>
      </x:c>
      <x:c r="H63" s="9" t="n">
        <x:f>IF(F63=0,"No spend",E63/F63)</x:f>
        <x:v>1.1967937418907948</x:v>
      </x:c>
    </x:row>
    <x:row r="64" ht="21" customHeight="1">
      <x:c r="A64" s="1" t="str">
        <x:v>Casual</x:v>
      </x:c>
      <x:c r="B64" s="1" t="n">
        <x:v>59</x:v>
      </x:c>
      <x:c r="C64" s="1" t="n">
        <x:v>1000</x:v>
      </x:c>
      <x:c r="D64" s="1" t="n">
        <x:v>957</x:v>
      </x:c>
      <x:c r="E64" s="7" t="n">
        <x:v>2.723968631178339e+69</x:v>
      </x:c>
      <x:c r="F64" s="7" t="n">
        <x:v>2.505736360606752e+69</x:v>
      </x:c>
      <x:c r="G64" s="7" t="n">
        <x:v>4.783252392965963e+69</x:v>
      </x:c>
      <x:c r="H64" s="9" t="n">
        <x:f>IF(F64=0,"No spend",E64/F64)</x:f>
        <x:v>1.0870930693278296</x:v>
      </x:c>
    </x:row>
    <x:row r="65" ht="21" customHeight="1">
      <x:c r="A65" s="1" t="str">
        <x:v>Casual</x:v>
      </x:c>
      <x:c r="B65" s="1" t="n">
        <x:v>60</x:v>
      </x:c>
      <x:c r="C65" s="1" t="n">
        <x:v>1000</x:v>
      </x:c>
      <x:c r="D65" s="1" t="n">
        <x:v>957</x:v>
      </x:c>
      <x:c r="E65" s="7" t="n">
        <x:v>2.743314999297502e+69</x:v>
      </x:c>
      <x:c r="F65" s="7" t="n">
        <x:v>2.6021759997946995e+69</x:v>
      </x:c>
      <x:c r="G65" s="7" t="n">
        <x:v>4.924391392469156e+69</x:v>
      </x:c>
      <x:c r="H65" s="9" t="n">
        <x:f>IF(F65=0,"No spend",E65/F65)</x:f>
        <x:v>1.0542388368480602</x:v>
      </x:c>
    </x:row>
    <x:row r="66" ht="21" customHeight="1">
      <x:c r="A66" s="1" t="str">
        <x:v>Casual</x:v>
      </x:c>
      <x:c r="B66" s="1" t="n">
        <x:v>61</x:v>
      </x:c>
      <x:c r="C66" s="1" t="n">
        <x:v>1000</x:v>
      </x:c>
      <x:c r="D66" s="1" t="n">
        <x:v>957</x:v>
      </x:c>
      <x:c r="E66" s="7" t="n">
        <x:v>2.8361775662694954e+69</x:v>
      </x:c>
      <x:c r="F66" s="7" t="n">
        <x:v>2.6389915662777153e+69</x:v>
      </x:c>
      <x:c r="G66" s="7" t="n">
        <x:v>5.121577392461337e+69</x:v>
      </x:c>
      <x:c r="H66" s="9" t="n">
        <x:f>IF(F66=0,"No spend",E66/F66)</x:f>
        <x:v>1.0747202084733867</x:v>
      </x:c>
    </x:row>
    <x:row r="67" ht="21" customHeight="1">
      <x:c r="A67" s="1" t="str">
        <x:v>Casual</x:v>
      </x:c>
      <x:c r="B67" s="1" t="n">
        <x:v>62</x:v>
      </x:c>
      <x:c r="C67" s="1" t="n">
        <x:v>1000</x:v>
      </x:c>
      <x:c r="D67" s="1" t="n">
        <x:v>957</x:v>
      </x:c>
      <x:c r="E67" s="7" t="n">
        <x:v>2.743314999297502e+69</x:v>
      </x:c>
      <x:c r="F67" s="7" t="n">
        <x:v>2.6476754952615135e+69</x:v>
      </x:c>
      <x:c r="G67" s="7" t="n">
        <x:v>5.217216896497725e+69</x:v>
      </x:c>
      <x:c r="H67" s="9" t="n">
        <x:f>IF(F67=0,"No spend",E67/F67)</x:f>
        <x:v>1.036122064130273</x:v>
      </x:c>
    </x:row>
    <x:row r="68" ht="21" customHeight="1">
      <x:c r="A68" s="1" t="str">
        <x:v>Casual</x:v>
      </x:c>
      <x:c r="B68" s="1" t="n">
        <x:v>63</x:v>
      </x:c>
      <x:c r="C68" s="1" t="n">
        <x:v>1000</x:v>
      </x:c>
      <x:c r="D68" s="1" t="n">
        <x:v>957</x:v>
      </x:c>
      <x:c r="E68" s="7" t="n">
        <x:v>2.723968631178339e+69</x:v>
      </x:c>
      <x:c r="F68" s="7" t="n">
        <x:v>2.6595620759951464e+69</x:v>
      </x:c>
      <x:c r="G68" s="7" t="n">
        <x:v>5.281623451681298e+69</x:v>
      </x:c>
      <x:c r="H68" s="9" t="n">
        <x:f>IF(F68=0,"No spend",E68/F68)</x:f>
        <x:v>1.0242169775860912</x:v>
      </x:c>
    </x:row>
    <x:row r="69" ht="21" customHeight="1">
      <x:c r="A69" s="1" t="str">
        <x:v>Casual</x:v>
      </x:c>
      <x:c r="B69" s="1" t="n">
        <x:v>64</x:v>
      </x:c>
      <x:c r="C69" s="1" t="n">
        <x:v>1000</x:v>
      </x:c>
      <x:c r="D69" s="1" t="n">
        <x:v>957</x:v>
      </x:c>
      <x:c r="E69" s="7" t="n">
        <x:v>2.7897462827834988e+69</x:v>
      </x:c>
      <x:c r="F69" s="7" t="n">
        <x:v>2.7972201242055587e+69</x:v>
      </x:c>
      <x:c r="G69" s="7" t="n">
        <x:v>5.274149610259641e+69</x:v>
      </x:c>
      <x:c r="H69" s="9" t="n">
        <x:f>IF(F69=0,"No spend",E69/F69)</x:f>
        <x:v>0.9973281182423273</x:v>
      </x:c>
    </x:row>
    <x:row r="70" ht="21" customHeight="1">
      <x:c r="A70" s="1" t="str">
        <x:v>Casual</x:v>
      </x:c>
      <x:c r="B70" s="1" t="n">
        <x:v>65</x:v>
      </x:c>
      <x:c r="C70" s="1" t="n">
        <x:v>1000</x:v>
      </x:c>
      <x:c r="D70" s="1" t="n">
        <x:v>957</x:v>
      </x:c>
      <x:c r="E70" s="7" t="n">
        <x:v>2.8361775662694954e+69</x:v>
      </x:c>
      <x:c r="F70" s="7" t="n">
        <x:v>3.0068836327280777e+69</x:v>
      </x:c>
      <x:c r="G70" s="7" t="n">
        <x:v>5.103443543801452e+69</x:v>
      </x:c>
      <x:c r="H70" s="9" t="n">
        <x:f>IF(F70=0,"No spend",E70/F70)</x:f>
        <x:v>0.9432282431549556</x:v>
      </x:c>
    </x:row>
    <x:row r="71" ht="21" customHeight="1">
      <x:c r="A71" s="1" t="str">
        <x:v>Casual</x:v>
      </x:c>
      <x:c r="B71" s="1" t="n">
        <x:v>66</x:v>
      </x:c>
      <x:c r="C71" s="1" t="n">
        <x:v>1000</x:v>
      </x:c>
      <x:c r="D71" s="1" t="n">
        <x:v>957</x:v>
      </x:c>
      <x:c r="E71" s="7" t="n">
        <x:v>2.7897462827834988e+69</x:v>
      </x:c>
      <x:c r="F71" s="7" t="n">
        <x:v>3.122611199753649e+69</x:v>
      </x:c>
      <x:c r="G71" s="7" t="n">
        <x:v>4.770578626831706e+69</x:v>
      </x:c>
      <x:c r="H71" s="9" t="n">
        <x:f>IF(F71=0,"No spend",E71/F71)</x:f>
        <x:v>0.8934017411465087</x:v>
      </x:c>
    </x:row>
    <x:row r="72" ht="21" customHeight="1">
      <x:c r="A72" s="1" t="str">
        <x:v>Casual</x:v>
      </x:c>
      <x:c r="B72" s="1" t="n">
        <x:v>67</x:v>
      </x:c>
      <x:c r="C72" s="1" t="n">
        <x:v>1000</x:v>
      </x:c>
      <x:c r="D72" s="1" t="n">
        <x:v>957</x:v>
      </x:c>
      <x:c r="E72" s="7" t="n">
        <x:v>2.7897462827834988e+69</x:v>
      </x:c>
      <x:c r="F72" s="7" t="n">
        <x:v>3.1667898795332584e+69</x:v>
      </x:c>
      <x:c r="G72" s="7" t="n">
        <x:v>4.3935350300823415e+69</x:v>
      </x:c>
      <x:c r="H72" s="9" t="n">
        <x:f>IF(F72=0,"No spend",E72/F72)</x:f>
        <x:v>0.880938233639508</x:v>
      </x:c>
    </x:row>
    <x:row r="73" ht="21" customHeight="1">
      <x:c r="A73" s="1" t="str">
        <x:v>Casual</x:v>
      </x:c>
      <x:c r="B73" s="1" t="n">
        <x:v>68</x:v>
      </x:c>
      <x:c r="C73" s="1" t="n">
        <x:v>1000</x:v>
      </x:c>
      <x:c r="D73" s="1" t="n">
        <x:v>957</x:v>
      </x:c>
      <x:c r="E73" s="7" t="n">
        <x:v>2.8168311981503322e+69</x:v>
      </x:c>
      <x:c r="F73" s="7" t="n">
        <x:v>3.1772105943138112e+69</x:v>
      </x:c>
      <x:c r="G73" s="7" t="n">
        <x:v>4.033155633919263e+69</x:v>
      </x:c>
      <x:c r="H73" s="9" t="n">
        <x:f>IF(F73=0,"No spend",E73/F73)</x:f>
        <x:v>0.8865736514890002</x:v>
      </x:c>
    </x:row>
    <x:row r="74" ht="21" customHeight="1">
      <x:c r="A74" s="1" t="str">
        <x:v>Casual</x:v>
      </x:c>
      <x:c r="B74" s="1" t="n">
        <x:v>69</x:v>
      </x:c>
      <x:c r="C74" s="1" t="n">
        <x:v>1000</x:v>
      </x:c>
      <x:c r="D74" s="1" t="n">
        <x:v>957</x:v>
      </x:c>
      <x:c r="E74" s="7" t="n">
        <x:v>2.6968837158115055e+69</x:v>
      </x:c>
      <x:c r="F74" s="7" t="n">
        <x:v>3.1914744911941953e+69</x:v>
      </x:c>
      <x:c r="G74" s="7" t="n">
        <x:v>3.5385648585369704e+69</x:v>
      </x:c>
      <x:c r="H74" s="9" t="n">
        <x:f>IF(F74=0,"No spend",E74/F74)</x:f>
        <x:v>0.8450275016305637</x:v>
      </x:c>
    </x:row>
    <x:row r="75" ht="21" customHeight="1">
      <x:c r="A75" s="1" t="str">
        <x:v>Casual</x:v>
      </x:c>
      <x:c r="B75" s="1" t="n">
        <x:v>70</x:v>
      </x:c>
      <x:c r="C75" s="1" t="n">
        <x:v>1000</x:v>
      </x:c>
      <x:c r="D75" s="1" t="n">
        <x:v>957</x:v>
      </x:c>
      <x:c r="E75" s="7" t="n">
        <x:v>2.882608849755492e+69</x:v>
      </x:c>
      <x:c r="F75" s="7" t="n">
        <x:v>0</x:v>
      </x:c>
      <x:c r="G75" s="7" t="n">
        <x:v>6.4211737082928725e+69</x:v>
      </x:c>
      <x:c r="H75" s="9" t="str">
        <x:f>IF(F75=0,"No spend",E75/F75)</x:f>
        <x:v>No spend</x:v>
      </x:c>
    </x:row>
    <x:row r="76" ht="21" customHeight="1">
      <x:c r="A76" s="1" t="str">
        <x:v>Casual</x:v>
      </x:c>
      <x:c r="B76" s="1" t="n">
        <x:v>71</x:v>
      </x:c>
      <x:c r="C76" s="1" t="n">
        <x:v>1000</x:v>
      </x:c>
      <x:c r="D76" s="1" t="n">
        <x:v>957</x:v>
      </x:c>
      <x:c r="E76" s="7" t="n">
        <x:v>2.8168311981503322e+69</x:v>
      </x:c>
      <x:c r="F76" s="7" t="n">
        <x:v>3.3566641490466606e+69</x:v>
      </x:c>
      <x:c r="G76" s="7" t="n">
        <x:v>5.881340757396937e+69</x:v>
      </x:c>
      <x:c r="H76" s="9" t="n">
        <x:f>IF(F76=0,"No spend",E76/F76)</x:f>
        <x:v>0.83917576292235</x:v>
      </x:c>
    </x:row>
    <x:row r="77" ht="21" customHeight="1">
      <x:c r="A77" s="1" t="str">
        <x:v>Casual</x:v>
      </x:c>
      <x:c r="B77" s="1" t="n">
        <x:v>72</x:v>
      </x:c>
      <x:c r="C77" s="1" t="n">
        <x:v>1000</x:v>
      </x:c>
      <x:c r="D77" s="1" t="n">
        <x:v>957</x:v>
      </x:c>
      <x:c r="E77" s="7" t="n">
        <x:v>2.9754714167274854e+69</x:v>
      </x:c>
      <x:c r="F77" s="7" t="n">
        <x:v>3.608260359273713e+69</x:v>
      </x:c>
      <x:c r="G77" s="7" t="n">
        <x:v>5.248551814851131e+69</x:v>
      </x:c>
      <x:c r="H77" s="9" t="n">
        <x:f>IF(F77=0,"No spend",E77/F77)</x:f>
        <x:v>0.8246276932539319</x:v>
      </x:c>
    </x:row>
    <x:row r="78" ht="21" customHeight="1">
      <x:c r="A78" s="1" t="str">
        <x:v>Casual</x:v>
      </x:c>
      <x:c r="B78" s="1" t="n">
        <x:v>73</x:v>
      </x:c>
      <x:c r="C78" s="1" t="n">
        <x:v>1000</x:v>
      </x:c>
      <x:c r="D78" s="1" t="n">
        <x:v>957</x:v>
      </x:c>
      <x:c r="E78" s="7" t="n">
        <x:v>2.7897462827834988e+69</x:v>
      </x:c>
      <x:c r="F78" s="7" t="n">
        <x:v>3.747133439704369e+69</x:v>
      </x:c>
      <x:c r="G78" s="7" t="n">
        <x:v>4.291164657930656e+69</x:v>
      </x:c>
      <x:c r="H78" s="9" t="n">
        <x:f>IF(F78=0,"No spend",E78/F78)</x:f>
        <x:v>0.7445014509554259</x:v>
      </x:c>
    </x:row>
    <x:row r="79" ht="21" customHeight="1">
      <x:c r="A79" s="1" t="str">
        <x:v>Casual</x:v>
      </x:c>
      <x:c r="B79" s="1" t="n">
        <x:v>74</x:v>
      </x:c>
      <x:c r="C79" s="1" t="n">
        <x:v>1000</x:v>
      </x:c>
      <x:c r="D79" s="1" t="n">
        <x:v>957</x:v>
      </x:c>
      <x:c r="E79" s="7" t="n">
        <x:v>2.7897462827834988e+69</x:v>
      </x:c>
      <x:c r="F79" s="7" t="n">
        <x:v>0</x:v>
      </x:c>
      <x:c r="G79" s="7" t="n">
        <x:v>7.080910940714555e+69</x:v>
      </x:c>
      <x:c r="H79" s="9" t="str">
        <x:f>IF(F79=0,"No spend",E79/F79)</x:f>
        <x:v>No spend</x:v>
      </x:c>
    </x:row>
    <x:row r="80" ht="21" customHeight="1">
      <x:c r="A80" s="1" t="str">
        <x:v>Casual</x:v>
      </x:c>
      <x:c r="B80" s="1" t="n">
        <x:v>75</x:v>
      </x:c>
      <x:c r="C80" s="1" t="n">
        <x:v>1000</x:v>
      </x:c>
      <x:c r="D80" s="1" t="n">
        <x:v>957</x:v>
      </x:c>
      <x:c r="E80" s="7" t="n">
        <x:v>2.723968631178339e+69</x:v>
      </x:c>
      <x:c r="F80" s="7" t="n">
        <x:v>3.80014785543992e+69</x:v>
      </x:c>
      <x:c r="G80" s="7" t="n">
        <x:v>6.0047317164533716e+69</x:v>
      </x:c>
      <x:c r="H80" s="9" t="n">
        <x:f>IF(F80=0,"No spend",E80/F80)</x:f>
        <x:v>0.7168059598731065</x:v>
      </x:c>
    </x:row>
    <x:row r="81" ht="21" customHeight="1">
      <x:c r="A81" s="1" t="str">
        <x:v>Casual</x:v>
      </x:c>
      <x:c r="B81" s="1" t="n">
        <x:v>76</x:v>
      </x:c>
      <x:c r="C81" s="1" t="n">
        <x:v>1000</x:v>
      </x:c>
      <x:c r="D81" s="1" t="n">
        <x:v>957</x:v>
      </x:c>
      <x:c r="E81" s="7" t="n">
        <x:v>2.8361775662694954e+69</x:v>
      </x:c>
      <x:c r="F81" s="7" t="n">
        <x:v>3.8126527131765686e+69</x:v>
      </x:c>
      <x:c r="G81" s="7" t="n">
        <x:v>5.028256569546697e+69</x:v>
      </x:c>
      <x:c r="H81" s="9" t="n">
        <x:f>IF(F81=0,"No spend",E81/F81)</x:f>
        <x:v>0.7438856301985323</x:v>
      </x:c>
    </x:row>
    <x:row r="82" ht="21" customHeight="1">
      <x:c r="A82" s="1" t="str">
        <x:v>Casual</x:v>
      </x:c>
      <x:c r="B82" s="1" t="n">
        <x:v>77</x:v>
      </x:c>
      <x:c r="C82" s="1" t="n">
        <x:v>1000</x:v>
      </x:c>
      <x:c r="D82" s="1" t="n">
        <x:v>957</x:v>
      </x:c>
      <x:c r="E82" s="7" t="n">
        <x:v>2.8361775662694954e+69</x:v>
      </x:c>
      <x:c r="F82" s="7" t="n">
        <x:v>3.829769389433034e+69</x:v>
      </x:c>
      <x:c r="G82" s="7" t="n">
        <x:v>4.0346647463835695e+69</x:v>
      </x:c>
      <x:c r="H82" s="9" t="n">
        <x:f>IF(F82=0,"No spend",E82/F82)</x:f>
        <x:v>0.740560926225735</x:v>
      </x:c>
    </x:row>
    <x:row r="83" ht="21" customHeight="1">
      <x:c r="A83" s="1" t="str">
        <x:v>Casual</x:v>
      </x:c>
      <x:c r="B83" s="1" t="n">
        <x:v>78</x:v>
      </x:c>
      <x:c r="C83" s="1" t="n">
        <x:v>1000</x:v>
      </x:c>
      <x:c r="D83" s="1" t="n">
        <x:v>957</x:v>
      </x:c>
      <x:c r="E83" s="7" t="n">
        <x:v>2.723968631178339e+69</x:v>
      </x:c>
      <x:c r="F83" s="7" t="n">
        <x:v>0</x:v>
      </x:c>
      <x:c r="G83" s="7" t="n">
        <x:v>6.758633377562301e+69</x:v>
      </x:c>
      <x:c r="H83" s="9" t="str">
        <x:f>IF(F83=0,"No spend",E83/F83)</x:f>
        <x:v>No spend</x:v>
      </x:c>
    </x:row>
    <x:row r="84" ht="21" customHeight="1">
      <x:c r="A84" s="1" t="str">
        <x:v>Casual</x:v>
      </x:c>
      <x:c r="B84" s="1" t="n">
        <x:v>79</x:v>
      </x:c>
      <x:c r="C84" s="1" t="n">
        <x:v>1000</x:v>
      </x:c>
      <x:c r="D84" s="1" t="n">
        <x:v>957</x:v>
      </x:c>
      <x:c r="E84" s="7" t="n">
        <x:v>2.9019552178746553e+69</x:v>
      </x:c>
      <x:c r="F84" s="7" t="n">
        <x:v>4.027996978855998e+69</x:v>
      </x:c>
      <x:c r="G84" s="7" t="n">
        <x:v>5.632591616581365e+69</x:v>
      </x:c>
      <x:c r="H84" s="9" t="n">
        <x:f>IF(F84=0,"No spend",E84/F84)</x:f>
        <x:v>0.7204462250363572</x:v>
      </x:c>
    </x:row>
    <x:row r="85" ht="21" customHeight="1">
      <x:c r="A85" s="1" t="str">
        <x:v>Casual</x:v>
      </x:c>
      <x:c r="B85" s="1" t="n">
        <x:v>80</x:v>
      </x:c>
      <x:c r="C85" s="1" t="n">
        <x:v>1000</x:v>
      </x:c>
      <x:c r="D85" s="1" t="n">
        <x:v>957</x:v>
      </x:c>
      <x:c r="E85" s="7" t="n">
        <x:v>2.723968631178339e+69</x:v>
      </x:c>
      <x:c r="F85" s="7" t="n">
        <x:v>0</x:v>
      </x:c>
      <x:c r="G85" s="7" t="n">
        <x:v>8.356560247760099e+69</x:v>
      </x:c>
      <x:c r="H85" s="9" t="str">
        <x:f>IF(F85=0,"No spend",E85/F85)</x:f>
        <x:v>No spend</x:v>
      </x:c>
    </x:row>
    <x:row r="86" ht="21" customHeight="1">
      <x:c r="A86" s="1" t="str">
        <x:v>Casual</x:v>
      </x:c>
      <x:c r="B86" s="1" t="n">
        <x:v>81</x:v>
      </x:c>
      <x:c r="C86" s="1" t="n">
        <x:v>1000</x:v>
      </x:c>
      <x:c r="D86" s="1" t="n">
        <x:v>957</x:v>
      </x:c>
      <x:c r="E86" s="7" t="n">
        <x:v>2.8361775662694954e+69</x:v>
      </x:c>
      <x:c r="F86" s="7" t="n">
        <x:v>4.329912431128446e+69</x:v>
      </x:c>
      <x:c r="G86" s="7" t="n">
        <x:v>6.862825382901551e+69</x:v>
      </x:c>
      <x:c r="H86" s="9" t="n">
        <x:f>IF(F86=0,"No spend",E86/F86)</x:f>
        <x:v>0.6550196133020504</x:v>
      </x:c>
    </x:row>
    <x:row r="87" ht="21" customHeight="1">
      <x:c r="A87" s="1" t="str">
        <x:v>Casual</x:v>
      </x:c>
      <x:c r="B87" s="1" t="n">
        <x:v>82</x:v>
      </x:c>
      <x:c r="C87" s="1" t="n">
        <x:v>1000</x:v>
      </x:c>
      <x:c r="D87" s="1" t="n">
        <x:v>957</x:v>
      </x:c>
      <x:c r="E87" s="7" t="n">
        <x:v>2.7703999146643356e+69</x:v>
      </x:c>
      <x:c r="F87" s="7" t="n">
        <x:v>4.496560127645243e+69</x:v>
      </x:c>
      <x:c r="G87" s="7" t="n">
        <x:v>5.136665169921031e+69</x:v>
      </x:c>
      <x:c r="H87" s="9" t="n">
        <x:f>IF(F87=0,"No spend",E87/F87)</x:f>
        <x:v>0.6161153939945506</x:v>
      </x:c>
    </x:row>
    <x:row r="88" ht="21" customHeight="1">
      <x:c r="A88" s="1" t="str">
        <x:v>Casual</x:v>
      </x:c>
      <x:c r="B88" s="1" t="n">
        <x:v>83</x:v>
      </x:c>
      <x:c r="C88" s="1" t="n">
        <x:v>1000</x:v>
      </x:c>
      <x:c r="D88" s="1" t="n">
        <x:v>957</x:v>
      </x:c>
      <x:c r="E88" s="7" t="n">
        <x:v>2.743314999297502e+69</x:v>
      </x:c>
      <x:c r="F88" s="7" t="n">
        <x:v>0</x:v>
      </x:c>
      <x:c r="G88" s="7" t="n">
        <x:v>7.87998016921893e+69</x:v>
      </x:c>
      <x:c r="H88" s="9" t="str">
        <x:f>IF(F88=0,"No spend",E88/F88)</x:f>
        <x:v>No spend</x:v>
      </x:c>
    </x:row>
    <x:row r="89" ht="21" customHeight="1">
      <x:c r="A89" s="1" t="str">
        <x:v>Casual</x:v>
      </x:c>
      <x:c r="B89" s="1" t="n">
        <x:v>84</x:v>
      </x:c>
      <x:c r="C89" s="1" t="n">
        <x:v>1000</x:v>
      </x:c>
      <x:c r="D89" s="1" t="n">
        <x:v>957</x:v>
      </x:c>
      <x:c r="E89" s="7" t="n">
        <x:v>2.7897462827838176e+69</x:v>
      </x:c>
      <x:c r="F89" s="7" t="n">
        <x:v>4.560177426527894e+69</x:v>
      </x:c>
      <x:c r="G89" s="7" t="n">
        <x:v>6.10954902547493e+69</x:v>
      </x:c>
      <x:c r="H89" s="9" t="n">
        <x:f>IF(F89=0,"No spend",E89/F89)</x:f>
        <x:v>0.611762662249728</x:v>
      </x:c>
    </x:row>
    <x:row r="90" ht="21" customHeight="1">
      <x:c r="A90" s="1" t="str">
        <x:v>Casual</x:v>
      </x:c>
      <x:c r="B90" s="1" t="n">
        <x:v>85</x:v>
      </x:c>
      <x:c r="C90" s="1" t="n">
        <x:v>1000</x:v>
      </x:c>
      <x:c r="D90" s="1" t="n">
        <x:v>957</x:v>
      </x:c>
      <x:c r="E90" s="7" t="n">
        <x:v>2.7897462827842834e+69</x:v>
      </x:c>
      <x:c r="F90" s="7" t="n">
        <x:v>0</x:v>
      </x:c>
      <x:c r="G90" s="7" t="n">
        <x:v>8.89929530825883e+69</x:v>
      </x:c>
      <x:c r="H90" s="9" t="str">
        <x:f>IF(F90=0,"No spend",E90/F90)</x:f>
        <x:v>No spend</x:v>
      </x:c>
    </x:row>
    <x:row r="91" ht="21" customHeight="1">
      <x:c r="A91" s="1" t="str">
        <x:v>Casual</x:v>
      </x:c>
      <x:c r="B91" s="1" t="n">
        <x:v>86</x:v>
      </x:c>
      <x:c r="C91" s="1" t="n">
        <x:v>1000</x:v>
      </x:c>
      <x:c r="D91" s="1" t="n">
        <x:v>957</x:v>
      </x:c>
      <x:c r="E91" s="7" t="n">
        <x:v>2.8361775662702556e+69</x:v>
      </x:c>
      <x:c r="F91" s="7" t="n">
        <x:v>4.5751832558118774e+69</x:v>
      </x:c>
      <x:c r="G91" s="7" t="n">
        <x:v>7.16028961871684e+69</x:v>
      </x:c>
      <x:c r="H91" s="9" t="n">
        <x:f>IF(F91=0,"No spend",E91/F91)</x:f>
        <x:v>0.619904691832277</x:v>
      </x:c>
    </x:row>
    <x:row r="92" ht="21" customHeight="1">
      <x:c r="A92" s="1" t="str">
        <x:v>Casual</x:v>
      </x:c>
      <x:c r="B92" s="1" t="n">
        <x:v>87</x:v>
      </x:c>
      <x:c r="C92" s="1" t="n">
        <x:v>1000</x:v>
      </x:c>
      <x:c r="D92" s="1" t="n">
        <x:v>957</x:v>
      </x:c>
      <x:c r="E92" s="7" t="n">
        <x:v>2.7897462827842834e+69</x:v>
      </x:c>
      <x:c r="F92" s="7" t="n">
        <x:v>4.595723267319612e+69</x:v>
      </x:c>
      <x:c r="G92" s="7" t="n">
        <x:v>5.3543126341811075e+69</x:v>
      </x:c>
      <x:c r="H92" s="9" t="n">
        <x:f>IF(F92=0,"No spend",E92/F92)</x:f>
        <x:v>0.6070309547622875</x:v>
      </x:c>
    </x:row>
    <x:row r="93" ht="21" customHeight="1">
      <x:c r="A93" s="1" t="str">
        <x:v>Casual</x:v>
      </x:c>
      <x:c r="B93" s="1" t="n">
        <x:v>88</x:v>
      </x:c>
      <x:c r="C93" s="1" t="n">
        <x:v>1000</x:v>
      </x:c>
      <x:c r="D93" s="1" t="n">
        <x:v>957</x:v>
      </x:c>
      <x:c r="E93" s="7" t="n">
        <x:v>2.7433149992983113e+69</x:v>
      </x:c>
      <x:c r="F93" s="7" t="n">
        <x:v>0</x:v>
      </x:c>
      <x:c r="G93" s="7" t="n">
        <x:v>8.097627633479007e+69</x:v>
      </x:c>
      <x:c r="H93" s="9" t="str">
        <x:f>IF(F93=0,"No spend",E93/F93)</x:f>
        <x:v>No spend</x:v>
      </x:c>
    </x:row>
    <x:row r="94" ht="21" customHeight="1">
      <x:c r="A94" s="1" t="str">
        <x:v>Casual</x:v>
      </x:c>
      <x:c r="B94" s="1" t="n">
        <x:v>89</x:v>
      </x:c>
      <x:c r="C94" s="1" t="n">
        <x:v>1000</x:v>
      </x:c>
      <x:c r="D94" s="1" t="n">
        <x:v>957</x:v>
      </x:c>
      <x:c r="E94" s="7" t="n">
        <x:v>2.8361775662702556e+69</x:v>
      </x:c>
      <x:c r="F94" s="7" t="n">
        <x:v>4.833596374627197e+69</x:v>
      </x:c>
      <x:c r="G94" s="7" t="n">
        <x:v>6.100208825121701e+69</x:v>
      </x:c>
      <x:c r="H94" s="9" t="n">
        <x:f>IF(F94=0,"No spend",E94/F94)</x:f>
        <x:v>0.5867634255019902</x:v>
      </x:c>
    </x:row>
    <x:row r="95" ht="21" customHeight="1">
      <x:c r="A95" s="1" t="str">
        <x:v>Casual</x:v>
      </x:c>
      <x:c r="B95" s="1" t="n">
        <x:v>90</x:v>
      </x:c>
      <x:c r="C95" s="1" t="n">
        <x:v>1000</x:v>
      </x:c>
      <x:c r="D95" s="1" t="n">
        <x:v>957</x:v>
      </x:c>
      <x:c r="E95" s="7" t="n">
        <x:v>2.7897462827842834e+69</x:v>
      </x:c>
      <x:c r="F95" s="7" t="n">
        <x:v>0</x:v>
      </x:c>
      <x:c r="G95" s="7" t="n">
        <x:v>8.8899551079056e+69</x:v>
      </x:c>
      <x:c r="H95" s="9" t="str">
        <x:f>IF(F95=0,"No spend",E95/F95)</x:f>
        <x:v>No spend</x:v>
      </x:c>
    </x:row>
    <x:row r="96" ht="21" customHeight="1">
      <x:c r="A96" s="1" t="str">
        <x:v>Core</x:v>
      </x:c>
      <x:c r="B96" s="1" t="n">
        <x:v>1</x:v>
      </x:c>
      <x:c r="C96" s="1" t="n">
        <x:v>765</x:v>
      </x:c>
      <x:c r="D96" s="1" t="n">
        <x:v>707</x:v>
      </x:c>
      <x:c r="E96" s="7" t="n">
        <x:v>9.265970345297551e+52</x:v>
      </x:c>
      <x:c r="F96" s="7" t="n">
        <x:v>5.606568850464229e+52</x:v>
      </x:c>
      <x:c r="G96" s="7" t="n">
        <x:v>3.6594014948333236e+52</x:v>
      </x:c>
      <x:c r="H96" s="9" t="n">
        <x:f>IF(F96=0,"No spend",E96/F96)</x:f>
        <x:v>1.6526989309210607</x:v>
      </x:c>
    </x:row>
    <x:row r="97" ht="21" customHeight="1">
      <x:c r="A97" s="1" t="str">
        <x:v>Core</x:v>
      </x:c>
      <x:c r="B97" s="1" t="n">
        <x:v>2</x:v>
      </x:c>
      <x:c r="C97" s="1" t="n">
        <x:v>1000</x:v>
      </x:c>
      <x:c r="D97" s="1" t="n">
        <x:v>942</x:v>
      </x:c>
      <x:c r="E97" s="7" t="n">
        <x:v>5.931437134039431e+69</x:v>
      </x:c>
      <x:c r="F97" s="7" t="n">
        <x:v>4.7505631973111694e+69</x:v>
      </x:c>
      <x:c r="G97" s="7" t="n">
        <x:v>1.1808739367282599e+69</x:v>
      </x:c>
      <x:c r="H97" s="9" t="n">
        <x:f>IF(F97=0,"No spend",E97/F97)</x:f>
        <x:v>1.2485755662395226</x:v>
      </x:c>
    </x:row>
    <x:row r="98" ht="21" customHeight="1">
      <x:c r="A98" s="1" t="str">
        <x:v>Core</x:v>
      </x:c>
      <x:c r="B98" s="1" t="n">
        <x:v>3</x:v>
      </x:c>
      <x:c r="C98" s="1" t="n">
        <x:v>1000</x:v>
      </x:c>
      <x:c r="D98" s="1" t="n">
        <x:v>948</x:v>
      </x:c>
      <x:c r="E98" s="7" t="n">
        <x:v>9.16243994123754e+69</x:v>
      </x:c>
      <x:c r="F98" s="7" t="n">
        <x:v>8.697595353203075e+69</x:v>
      </x:c>
      <x:c r="G98" s="7" t="n">
        <x:v>1.6457185247627377e+69</x:v>
      </x:c>
      <x:c r="H98" s="9" t="n">
        <x:f>IF(F98=0,"No spend",E98/F98)</x:f>
        <x:v>1.0534451844627695</x:v>
      </x:c>
    </x:row>
    <x:row r="99" ht="21" customHeight="1">
      <x:c r="A99" s="1" t="str">
        <x:v>Core</x:v>
      </x:c>
      <x:c r="B99" s="1" t="n">
        <x:v>4</x:v>
      </x:c>
      <x:c r="C99" s="1" t="n">
        <x:v>1000</x:v>
      </x:c>
      <x:c r="D99" s="1" t="n">
        <x:v>950</x:v>
      </x:c>
      <x:c r="E99" s="7" t="n">
        <x:v>9.208871224723577e+69</x:v>
      </x:c>
      <x:c r="F99" s="7" t="n">
        <x:v>7.108279765090788e+69</x:v>
      </x:c>
      <x:c r="G99" s="7" t="n">
        <x:v>3.7463099843955025e+69</x:v>
      </x:c>
      <x:c r="H99" s="9" t="n">
        <x:f>IF(F99=0,"No spend",E99/F99)</x:f>
        <x:v>1.295513335019385</x:v>
      </x:c>
    </x:row>
    <x:row r="100" ht="21" customHeight="1">
      <x:c r="A100" s="1" t="str">
        <x:v>Core</x:v>
      </x:c>
      <x:c r="B100" s="1" t="n">
        <x:v>5</x:v>
      </x:c>
      <x:c r="C100" s="1" t="n">
        <x:v>1000</x:v>
      </x:c>
      <x:c r="D100" s="1" t="n">
        <x:v>952</x:v>
      </x:c>
      <x:c r="E100" s="7" t="n">
        <x:v>9.301733791695509e+69</x:v>
      </x:c>
      <x:c r="F100" s="7" t="n">
        <x:v>8.473251597243018e+69</x:v>
      </x:c>
      <x:c r="G100" s="7" t="n">
        <x:v>4.574792178848037e+69</x:v>
      </x:c>
      <x:c r="H100" s="9" t="n">
        <x:f>IF(F100=0,"No spend",E100/F100)</x:f>
        <x:v>1.0977761824896193</x:v>
      </x:c>
    </x:row>
    <x:row r="101" ht="21" customHeight="1">
      <x:c r="A101" s="1" t="str">
        <x:v>Core</x:v>
      </x:c>
      <x:c r="B101" s="1" t="n">
        <x:v>6</x:v>
      </x:c>
      <x:c r="C101" s="1" t="n">
        <x:v>1000</x:v>
      </x:c>
      <x:c r="D101" s="1" t="n">
        <x:v>954</x:v>
      </x:c>
      <x:c r="E101" s="7" t="n">
        <x:v>9.116008657751492e+69</x:v>
      </x:c>
      <x:c r="F101" s="7" t="n">
        <x:v>8.984997215052362e+69</x:v>
      </x:c>
      <x:c r="G101" s="7" t="n">
        <x:v>4.705803621547226e+69</x:v>
      </x:c>
      <x:c r="H101" s="9" t="n">
        <x:f>IF(F101=0,"No spend",E101/F101)</x:f>
        <x:v>1.0145811333674817</x:v>
      </x:c>
    </x:row>
    <x:row r="102" ht="21" customHeight="1">
      <x:c r="A102" s="1" t="str">
        <x:v>Core</x:v>
      </x:c>
      <x:c r="B102" s="1" t="n">
        <x:v>7</x:v>
      </x:c>
      <x:c r="C102" s="1" t="n">
        <x:v>1000</x:v>
      </x:c>
      <x:c r="D102" s="1" t="n">
        <x:v>955</x:v>
      </x:c>
      <x:c r="E102" s="7" t="n">
        <x:v>9.348165075181475e+69</x:v>
      </x:c>
      <x:c r="F102" s="7" t="n">
        <x:v>8.567370948556009e+69</x:v>
      </x:c>
      <x:c r="G102" s="7" t="n">
        <x:v>5.486597748172768e+69</x:v>
      </x:c>
      <x:c r="H102" s="9" t="n">
        <x:f>IF(F102=0,"No spend",E102/F102)</x:f>
        <x:v>1.0911357908177264</x:v>
      </x:c>
    </x:row>
    <x:row r="103" ht="21" customHeight="1">
      <x:c r="A103" s="1" t="str">
        <x:v>Core</x:v>
      </x:c>
      <x:c r="B103" s="1" t="n">
        <x:v>8</x:v>
      </x:c>
      <x:c r="C103" s="1" t="n">
        <x:v>1000</x:v>
      </x:c>
      <x:c r="D103" s="1" t="n">
        <x:v>956</x:v>
      </x:c>
      <x:c r="E103" s="7" t="n">
        <x:v>9.162439941237629e+69</x:v>
      </x:c>
      <x:c r="F103" s="7" t="n">
        <x:v>6.771852268000873e+69</x:v>
      </x:c>
      <x:c r="G103" s="7" t="n">
        <x:v>7.877185421409434e+69</x:v>
      </x:c>
      <x:c r="H103" s="9" t="n">
        <x:f>IF(F103=0,"No spend",E103/F103)</x:f>
        <x:v>1.353018284898658</x:v>
      </x:c>
    </x:row>
    <x:row r="104" ht="21" customHeight="1">
      <x:c r="A104" s="1" t="str">
        <x:v>Core</x:v>
      </x:c>
      <x:c r="B104" s="1" t="n">
        <x:v>9</x:v>
      </x:c>
      <x:c r="C104" s="1" t="n">
        <x:v>1000</x:v>
      </x:c>
      <x:c r="D104" s="1" t="n">
        <x:v>957</x:v>
      </x:c>
      <x:c r="E104" s="7" t="n">
        <x:v>9.16243994123766e+69</x:v>
      </x:c>
      <x:c r="F104" s="7" t="n">
        <x:v>1.195070400829782e+70</x:v>
      </x:c>
      <x:c r="G104" s="7" t="n">
        <x:v>5.088921354348968e+69</x:v>
      </x:c>
      <x:c r="H104" s="9" t="n">
        <x:f>IF(F104=0,"No spend",E104/F104)</x:f>
        <x:v>0.7666862081828683</x:v>
      </x:c>
    </x:row>
    <x:row r="105" ht="21" customHeight="1">
      <x:c r="A105" s="1" t="str">
        <x:v>Core</x:v>
      </x:c>
      <x:c r="B105" s="1" t="n">
        <x:v>10</x:v>
      </x:c>
      <x:c r="C105" s="1" t="n">
        <x:v>1000</x:v>
      </x:c>
      <x:c r="D105" s="1" t="n">
        <x:v>957</x:v>
      </x:c>
      <x:c r="E105" s="7" t="n">
        <x:v>9.394596358667704e+69</x:v>
      </x:c>
      <x:c r="F105" s="7" t="n">
        <x:v>1.0239238755474284e+64</x:v>
      </x:c>
      <x:c r="G105" s="7" t="n">
        <x:v>1.4483507473777702e+70</x:v>
      </x:c>
      <x:c r="H105" s="9" t="n">
        <x:f>IF(F105=0,"No spend",E105/F105)</x:f>
        <x:v>917509.2585515693</x:v>
      </x:c>
    </x:row>
    <x:row r="106" ht="21" customHeight="1">
      <x:c r="A106" s="1" t="str">
        <x:v>Core</x:v>
      </x:c>
      <x:c r="B106" s="1" t="n">
        <x:v>11</x:v>
      </x:c>
      <x:c r="C106" s="1" t="n">
        <x:v>1000</x:v>
      </x:c>
      <x:c r="D106" s="1" t="n">
        <x:v>958</x:v>
      </x:c>
      <x:c r="E106" s="7" t="n">
        <x:v>9.116008657751651e+69</x:v>
      </x:c>
      <x:c r="F106" s="7" t="n">
        <x:v>1.8318295325316867e+70</x:v>
      </x:c>
      <x:c r="G106" s="7" t="n">
        <x:v>5.2812208062123634e+69</x:v>
      </x:c>
      <x:c r="H106" s="9" t="n">
        <x:f>IF(F106=0,"No spend",E106/F106)</x:f>
        <x:v>0.497645031694234</x:v>
      </x:c>
    </x:row>
    <x:row r="107" ht="21" customHeight="1">
      <x:c r="A107" s="1" t="str">
        <x:v>Core</x:v>
      </x:c>
      <x:c r="B107" s="1" t="n">
        <x:v>12</x:v>
      </x:c>
      <x:c r="C107" s="1" t="n">
        <x:v>1000</x:v>
      </x:c>
      <x:c r="D107" s="1" t="n">
        <x:v>958</x:v>
      </x:c>
      <x:c r="E107" s="7" t="n">
        <x:v>9.255302508209678e+69</x:v>
      </x:c>
      <x:c r="F107" s="7" t="n">
        <x:v>1.3229942095414623e+70</x:v>
      </x:c>
      <x:c r="G107" s="7" t="n">
        <x:v>1.306581219007273e+69</x:v>
      </x:c>
      <x:c r="H107" s="9" t="n">
        <x:f>IF(F107=0,"No spend",E107/F107)</x:f>
        <x:v>0.6995724124459684</x:v>
      </x:c>
    </x:row>
    <x:row r="108" ht="21" customHeight="1">
      <x:c r="A108" s="1" t="str">
        <x:v>Core</x:v>
      </x:c>
      <x:c r="B108" s="1" t="n">
        <x:v>13</x:v>
      </x:c>
      <x:c r="C108" s="1" t="n">
        <x:v>1000</x:v>
      </x:c>
      <x:c r="D108" s="1" t="n">
        <x:v>958</x:v>
      </x:c>
      <x:c r="E108" s="7" t="n">
        <x:v>9.255302508209678e+69</x:v>
      </x:c>
      <x:c r="F108" s="7" t="n">
        <x:v>8.795629687361662e+69</x:v>
      </x:c>
      <x:c r="G108" s="7" t="n">
        <x:v>1.7662540398551405e+69</x:v>
      </x:c>
      <x:c r="H108" s="9" t="n">
        <x:f>IF(F108=0,"No spend",E108/F108)</x:f>
        <x:v>1.0522615022672583</x:v>
      </x:c>
    </x:row>
    <x:row r="109" ht="21" customHeight="1">
      <x:c r="A109" s="1" t="str">
        <x:v>Core</x:v>
      </x:c>
      <x:c r="B109" s="1" t="n">
        <x:v>14</x:v>
      </x:c>
      <x:c r="C109" s="1" t="n">
        <x:v>1000</x:v>
      </x:c>
      <x:c r="D109" s="1" t="n">
        <x:v>958</x:v>
      </x:c>
      <x:c r="E109" s="7" t="n">
        <x:v>9.116008657750731e+69</x:v>
      </x:c>
      <x:c r="F109" s="7" t="n">
        <x:v>8.515489175443993e+69</x:v>
      </x:c>
      <x:c r="G109" s="7" t="n">
        <x:v>2.366773522162704e+69</x:v>
      </x:c>
      <x:c r="H109" s="9" t="n">
        <x:f>IF(F109=0,"No spend",E109/F109)</x:f>
        <x:v>1.0705208438334286</x:v>
      </x:c>
    </x:row>
    <x:row r="110" ht="21" customHeight="1">
      <x:c r="A110" s="1" t="str">
        <x:v>Core</x:v>
      </x:c>
      <x:c r="B110" s="1" t="n">
        <x:v>15</x:v>
      </x:c>
      <x:c r="C110" s="1" t="n">
        <x:v>1000</x:v>
      </x:c>
      <x:c r="D110" s="1" t="n">
        <x:v>958</x:v>
      </x:c>
      <x:c r="E110" s="7" t="n">
        <x:v>9.348165075180249e+69</x:v>
      </x:c>
      <x:c r="F110" s="7" t="n">
        <x:v>9.391936773734779e+69</x:v>
      </x:c>
      <x:c r="G110" s="7" t="n">
        <x:v>2.3230018236095053e+69</x:v>
      </x:c>
      <x:c r="H110" s="9" t="n">
        <x:f>IF(F110=0,"No spend",E110/F110)</x:f>
        <x:v>0.9953394385408406</x:v>
      </x:c>
    </x:row>
    <x:row r="111" ht="21" customHeight="1">
      <x:c r="A111" s="1" t="str">
        <x:v>Core</x:v>
      </x:c>
      <x:c r="B111" s="1" t="n">
        <x:v>16</x:v>
      </x:c>
      <x:c r="C111" s="1" t="n">
        <x:v>1000</x:v>
      </x:c>
      <x:c r="D111" s="1" t="n">
        <x:v>958</x:v>
      </x:c>
      <x:c r="E111" s="7" t="n">
        <x:v>9.162439941236262e+69</x:v>
      </x:c>
      <x:c r="F111" s="7" t="n">
        <x:v>7.957368573187537e+69</x:v>
      </x:c>
      <x:c r="G111" s="7" t="n">
        <x:v>3.528073191659537e+69</x:v>
      </x:c>
      <x:c r="H111" s="9" t="n">
        <x:f>IF(F111=0,"No spend",E111/F111)</x:f>
        <x:v>1.1514409389190832</x:v>
      </x:c>
    </x:row>
    <x:row r="112" ht="21" customHeight="1">
      <x:c r="A112" s="1" t="str">
        <x:v>Core</x:v>
      </x:c>
      <x:c r="B112" s="1" t="n">
        <x:v>17</x:v>
      </x:c>
      <x:c r="C112" s="1" t="n">
        <x:v>1000</x:v>
      </x:c>
      <x:c r="D112" s="1" t="n">
        <x:v>958</x:v>
      </x:c>
      <x:c r="E112" s="7" t="n">
        <x:v>9.255302508208255e+69</x:v>
      </x:c>
      <x:c r="F112" s="7" t="n">
        <x:v>9.267795320510165e+69</x:v>
      </x:c>
      <x:c r="G112" s="7" t="n">
        <x:v>3.515580379358916e+69</x:v>
      </x:c>
      <x:c r="H112" s="9" t="n">
        <x:f>IF(F112=0,"No spend",E112/F112)</x:f>
        <x:v>0.9986520189678485</x:v>
      </x:c>
    </x:row>
    <x:row r="113" ht="21" customHeight="1">
      <x:c r="A113" s="1" t="str">
        <x:v>Core</x:v>
      </x:c>
      <x:c r="B113" s="1" t="n">
        <x:v>18</x:v>
      </x:c>
      <x:c r="C113" s="1" t="n">
        <x:v>1000</x:v>
      </x:c>
      <x:c r="D113" s="1" t="n">
        <x:v>958</x:v>
      </x:c>
      <x:c r="E113" s="7" t="n">
        <x:v>9.208871224722259e+69</x:v>
      </x:c>
      <x:c r="F113" s="7" t="n">
        <x:v>8.662149518283888e+69</x:v>
      </x:c>
      <x:c r="G113" s="7" t="n">
        <x:v>4.062302085798572e+69</x:v>
      </x:c>
      <x:c r="H113" s="9" t="n">
        <x:f>IF(F113=0,"No spend",E113/F113)</x:f>
        <x:v>1.063116170563018</x:v>
      </x:c>
    </x:row>
    <x:row r="114" ht="21" customHeight="1">
      <x:c r="A114" s="1" t="str">
        <x:v>Core</x:v>
      </x:c>
      <x:c r="B114" s="1" t="n">
        <x:v>19</x:v>
      </x:c>
      <x:c r="C114" s="1" t="n">
        <x:v>1000</x:v>
      </x:c>
      <x:c r="D114" s="1" t="n">
        <x:v>958</x:v>
      </x:c>
      <x:c r="E114" s="7" t="n">
        <x:v>9.162439941236262e+69</x:v>
      </x:c>
      <x:c r="F114" s="7" t="n">
        <x:v>9.65523086056871e+69</x:v>
      </x:c>
      <x:c r="G114" s="7" t="n">
        <x:v>3.5695111664674145e+69</x:v>
      </x:c>
      <x:c r="H114" s="9" t="n">
        <x:f>IF(F114=0,"No spend",E114/F114)</x:f>
        <x:v>0.9489612494565023</x:v>
      </x:c>
    </x:row>
    <x:row r="115" ht="21" customHeight="1">
      <x:c r="A115" s="1" t="str">
        <x:v>Core</x:v>
      </x:c>
      <x:c r="B115" s="1" t="n">
        <x:v>20</x:v>
      </x:c>
      <x:c r="C115" s="1" t="n">
        <x:v>1000</x:v>
      </x:c>
      <x:c r="D115" s="1" t="n">
        <x:v>958</x:v>
      </x:c>
      <x:c r="E115" s="7" t="n">
        <x:v>9.394596358666245e+69</x:v>
      </x:c>
      <x:c r="F115" s="7" t="n">
        <x:v>7.946229137534375e+69</x:v>
      </x:c>
      <x:c r="G115" s="7" t="n">
        <x:v>5.017878387600585e+69</x:v>
      </x:c>
      <x:c r="H115" s="9" t="n">
        <x:f>IF(F115=0,"No spend",E115/F115)</x:f>
        <x:v>1.1822710113266734</x:v>
      </x:c>
    </x:row>
    <x:row r="116" ht="21" customHeight="1">
      <x:c r="A116" s="1" t="str">
        <x:v>Core</x:v>
      </x:c>
      <x:c r="B116" s="1" t="n">
        <x:v>21</x:v>
      </x:c>
      <x:c r="C116" s="1" t="n">
        <x:v>1000</x:v>
      </x:c>
      <x:c r="D116" s="1" t="n">
        <x:v>958</x:v>
      </x:c>
      <x:c r="E116" s="7" t="n">
        <x:v>9.069577374264269e+69</x:v>
      </x:c>
      <x:c r="F116" s="7" t="n">
        <x:v>8.926714956687286e+69</x:v>
      </x:c>
      <x:c r="G116" s="7" t="n">
        <x:v>5.160740805178842e+69</x:v>
      </x:c>
      <x:c r="H116" s="9" t="n">
        <x:f>IF(F116=0,"No spend",E116/F116)</x:f>
        <x:v>1.0160039183809673</x:v>
      </x:c>
    </x:row>
    <x:row r="117" ht="21" customHeight="1">
      <x:c r="A117" s="1" t="str">
        <x:v>Core</x:v>
      </x:c>
      <x:c r="B117" s="1" t="n">
        <x:v>22</x:v>
      </x:c>
      <x:c r="C117" s="1" t="n">
        <x:v>1000</x:v>
      </x:c>
      <x:c r="D117" s="1" t="n">
        <x:v>958</x:v>
      </x:c>
      <x:c r="E117" s="7" t="n">
        <x:v>9.301733791694252e+69</x:v>
      </x:c>
      <x:c r="F117" s="7" t="n">
        <x:v>9.535474965041265e+69</x:v>
      </x:c>
      <x:c r="G117" s="7" t="n">
        <x:v>4.9269996318331325e+69</x:v>
      </x:c>
      <x:c r="H117" s="9" t="n">
        <x:f>IF(F117=0,"No spend",E117/F117)</x:f>
        <x:v>0.9754872018222533</x:v>
      </x:c>
    </x:row>
    <x:row r="118" ht="21" customHeight="1">
      <x:c r="A118" s="1" t="str">
        <x:v>Core</x:v>
      </x:c>
      <x:c r="B118" s="1" t="n">
        <x:v>23</x:v>
      </x:c>
      <x:c r="C118" s="1" t="n">
        <x:v>1000</x:v>
      </x:c>
      <x:c r="D118" s="1" t="n">
        <x:v>958</x:v>
      </x:c>
      <x:c r="E118" s="7" t="n">
        <x:v>9.255302508208255e+69</x:v>
      </x:c>
      <x:c r="F118" s="7" t="n">
        <x:v>6.964924508320374e+69</x:v>
      </x:c>
      <x:c r="G118" s="7" t="n">
        <x:v>7.217377631722309e+69</x:v>
      </x:c>
      <x:c r="H118" s="9" t="n">
        <x:f>IF(F118=0,"No spend",E118/F118)</x:f>
        <x:v>1.3288446266936234</x:v>
      </x:c>
    </x:row>
    <x:row r="119" ht="21" customHeight="1">
      <x:c r="A119" s="1" t="str">
        <x:v>Core</x:v>
      </x:c>
      <x:c r="B119" s="1" t="n">
        <x:v>24</x:v>
      </x:c>
      <x:c r="C119" s="1" t="n">
        <x:v>1000</x:v>
      </x:c>
      <x:c r="D119" s="1" t="n">
        <x:v>958</x:v>
      </x:c>
      <x:c r="E119" s="7" t="n">
        <x:v>9.069577374264269e+69</x:v>
      </x:c>
      <x:c r="F119" s="7" t="n">
        <x:v>1.1359934008320858e+70</x:v>
      </x:c>
      <x:c r="G119" s="7" t="n">
        <x:v>4.927020997666987e+69</x:v>
      </x:c>
      <x:c r="H119" s="9" t="n">
        <x:f>IF(F119=0,"No spend",E119/F119)</x:f>
        <x:v>0.7983829278956232</x:v>
      </x:c>
    </x:row>
    <x:row r="120" ht="21" customHeight="1">
      <x:c r="A120" s="1" t="str">
        <x:v>Core</x:v>
      </x:c>
      <x:c r="B120" s="1" t="n">
        <x:v>25</x:v>
      </x:c>
      <x:c r="C120" s="1" t="n">
        <x:v>1000</x:v>
      </x:c>
      <x:c r="D120" s="1" t="n">
        <x:v>958</x:v>
      </x:c>
      <x:c r="E120" s="7" t="n">
        <x:v>9.441027642152242e+69</x:v>
      </x:c>
      <x:c r="F120" s="7" t="n">
        <x:v>7.857766368289032e+69</x:v>
      </x:c>
      <x:c r="G120" s="7" t="n">
        <x:v>6.510282271531514e+69</x:v>
      </x:c>
      <x:c r="H120" s="9" t="n">
        <x:f>IF(F120=0,"No spend",E120/F120)</x:f>
        <x:v>1.2014899908773888</x:v>
      </x:c>
    </x:row>
    <x:row r="121" ht="21" customHeight="1">
      <x:c r="A121" s="1" t="str">
        <x:v>Core</x:v>
      </x:c>
      <x:c r="B121" s="1" t="n">
        <x:v>26</x:v>
      </x:c>
      <x:c r="C121" s="1" t="n">
        <x:v>1000</x:v>
      </x:c>
      <x:c r="D121" s="1" t="n">
        <x:v>958</x:v>
      </x:c>
      <x:c r="E121" s="7" t="n">
        <x:v>9.116008657751737e+69</x:v>
      </x:c>
      <x:c r="F121" s="7" t="n">
        <x:v>8.826472558773689e+69</x:v>
      </x:c>
      <x:c r="G121" s="7" t="n">
        <x:v>6.799818370509358e+69</x:v>
      </x:c>
      <x:c r="H121" s="9" t="n">
        <x:f>IF(F121=0,"No spend",E121/F121)</x:f>
        <x:v>1.0328031495084913</x:v>
      </x:c>
    </x:row>
    <x:row r="122" ht="21" customHeight="1">
      <x:c r="A122" s="1" t="str">
        <x:v>Core</x:v>
      </x:c>
      <x:c r="B122" s="1" t="n">
        <x:v>27</x:v>
      </x:c>
      <x:c r="C122" s="1" t="n">
        <x:v>1000</x:v>
      </x:c>
      <x:c r="D122" s="1" t="n">
        <x:v>958</x:v>
      </x:c>
      <x:c r="E122" s="7" t="n">
        <x:v>9.162439941238371e+69</x:v>
      </x:c>
      <x:c r="F122" s="7" t="n">
        <x:v>9.13536068233982e+69</x:v>
      </x:c>
      <x:c r="G122" s="7" t="n">
        <x:v>6.826897629407109e+69</x:v>
      </x:c>
      <x:c r="H122" s="9" t="n">
        <x:f>IF(F122=0,"No spend",E122/F122)</x:f>
        <x:v>1.0029642243848016</x:v>
      </x:c>
    </x:row>
    <x:row r="123" ht="21" customHeight="1">
      <x:c r="A123" s="1" t="str">
        <x:v>Core</x:v>
      </x:c>
      <x:c r="B123" s="1" t="n">
        <x:v>28</x:v>
      </x:c>
      <x:c r="C123" s="1" t="n">
        <x:v>1000</x:v>
      </x:c>
      <x:c r="D123" s="1" t="n">
        <x:v>958</x:v>
      </x:c>
      <x:c r="E123" s="7" t="n">
        <x:v>9.34816507518226e+69</x:v>
      </x:c>
      <x:c r="F123" s="7" t="n">
        <x:v>9.429319641946809e+69</x:v>
      </x:c>
      <x:c r="G123" s="7" t="n">
        <x:v>6.7457430626418194e+69</x:v>
      </x:c>
      <x:c r="H123" s="9" t="n">
        <x:f>IF(F123=0,"No spend",E123/F123)</x:f>
        <x:v>0.9913933804509575</x:v>
      </x:c>
    </x:row>
    <x:row r="124" ht="21" customHeight="1">
      <x:c r="A124" s="1" t="str">
        <x:v>Core</x:v>
      </x:c>
      <x:c r="B124" s="1" t="n">
        <x:v>29</x:v>
      </x:c>
      <x:c r="C124" s="1" t="n">
        <x:v>1000</x:v>
      </x:c>
      <x:c r="D124" s="1" t="n">
        <x:v>958</x:v>
      </x:c>
      <x:c r="E124" s="7" t="n">
        <x:v>9.116008657752399e+69</x:v>
      </x:c>
      <x:c r="F124" s="7" t="n">
        <x:v>5.195894917354135e+69</x:v>
      </x:c>
      <x:c r="G124" s="7" t="n">
        <x:v>1.0665856803039217e+70</x:v>
      </x:c>
      <x:c r="H124" s="9" t="n">
        <x:f>IF(F124=0,"No spend",E124/F124)</x:f>
        <x:v>1.7544636299908993</x:v>
      </x:c>
    </x:row>
    <x:row r="125" ht="21" customHeight="1">
      <x:c r="A125" s="1" t="str">
        <x:v>Core</x:v>
      </x:c>
      <x:c r="B125" s="1" t="n">
        <x:v>30</x:v>
      </x:c>
      <x:c r="C125" s="1" t="n">
        <x:v>1000</x:v>
      </x:c>
      <x:c r="D125" s="1" t="n">
        <x:v>958</x:v>
      </x:c>
      <x:c r="E125" s="7" t="n">
        <x:v>9.301733791696287e+69</x:v>
      </x:c>
      <x:c r="F125" s="7" t="n">
        <x:v>1.0868085065007764e+70</x:v>
      </x:c>
      <x:c r="G125" s="7" t="n">
        <x:v>9.099505529726976e+69</x:v>
      </x:c>
      <x:c r="H125" s="9" t="n">
        <x:f>IF(F125=0,"No spend",E125/F125)</x:f>
        <x:v>0.8558760569187395</x:v>
      </x:c>
    </x:row>
    <x:row r="126" ht="21" customHeight="1">
      <x:c r="A126" s="1" t="str">
        <x:v>Core</x:v>
      </x:c>
      <x:c r="B126" s="1" t="n">
        <x:v>31</x:v>
      </x:c>
      <x:c r="C126" s="1" t="n">
        <x:v>1000</x:v>
      </x:c>
      <x:c r="D126" s="1" t="n">
        <x:v>958</x:v>
      </x:c>
      <x:c r="E126" s="7" t="n">
        <x:v>9.208871224724343e+69</x:v>
      </x:c>
      <x:c r="F126" s="7" t="n">
        <x:v>1.1005087827757826e+70</x:v>
      </x:c>
      <x:c r="G126" s="7" t="n">
        <x:v>7.303288926692686e+69</x:v>
      </x:c>
      <x:c r="H126" s="9" t="n">
        <x:f>IF(F126=0,"No spend",E126/F126)</x:f>
        <x:v>0.8367830742338161</x:v>
      </x:c>
    </x:row>
    <x:row r="127" ht="21" customHeight="1">
      <x:c r="A127" s="1" t="str">
        <x:v>Core</x:v>
      </x:c>
      <x:c r="B127" s="1" t="n">
        <x:v>32</x:v>
      </x:c>
      <x:c r="C127" s="1" t="n">
        <x:v>1000</x:v>
      </x:c>
      <x:c r="D127" s="1" t="n">
        <x:v>958</x:v>
      </x:c>
      <x:c r="E127" s="7" t="n">
        <x:v>9.208871224724343e+69</x:v>
      </x:c>
      <x:c r="F127" s="7" t="n">
        <x:v>5.800315649552627e+69</x:v>
      </x:c>
      <x:c r="G127" s="7" t="n">
        <x:v>1.0711844501863579e+70</x:v>
      </x:c>
      <x:c r="H127" s="9" t="n">
        <x:f>IF(F127=0,"No spend",E127/F127)</x:f>
        <x:v>1.5876500144323378</x:v>
      </x:c>
    </x:row>
    <x:row r="128" ht="21" customHeight="1">
      <x:c r="A128" s="1" t="str">
        <x:v>Core</x:v>
      </x:c>
      <x:c r="B128" s="1" t="n">
        <x:v>33</x:v>
      </x:c>
      <x:c r="C128" s="1" t="n">
        <x:v>1000</x:v>
      </x:c>
      <x:c r="D128" s="1" t="n">
        <x:v>958</x:v>
      </x:c>
      <x:c r="E128" s="7" t="n">
        <x:v>9.255302508210315e+69</x:v>
      </x:c>
      <x:c r="F128" s="7" t="n">
        <x:v>1.2710120484634139e+70</x:v>
      </x:c>
      <x:c r="G128" s="7" t="n">
        <x:v>7.257026525438985e+69</x:v>
      </x:c>
      <x:c r="H128" s="9" t="n">
        <x:f>IF(F128=0,"No spend",E128/F128)</x:f>
        <x:v>0.7281836957721592</x:v>
      </x:c>
    </x:row>
    <x:row r="129" ht="21" customHeight="1">
      <x:c r="A129" s="1" t="str">
        <x:v>Core</x:v>
      </x:c>
      <x:c r="B129" s="1" t="n">
        <x:v>34</x:v>
      </x:c>
      <x:c r="C129" s="1" t="n">
        <x:v>1000</x:v>
      </x:c>
      <x:c r="D129" s="1" t="n">
        <x:v>958</x:v>
      </x:c>
      <x:c r="E129" s="7" t="n">
        <x:v>9.162439941238371e+69</x:v>
      </x:c>
      <x:c r="F129" s="7" t="n">
        <x:v>6.5666554942001595e+69</x:v>
      </x:c>
      <x:c r="G129" s="7" t="n">
        <x:v>9.852810972476342e+69</x:v>
      </x:c>
      <x:c r="H129" s="9" t="n">
        <x:f>IF(F129=0,"No spend",E129/F129)</x:f>
        <x:v>1.3952977964704978</x:v>
      </x:c>
    </x:row>
    <x:row r="130" ht="21" customHeight="1">
      <x:c r="A130" s="1" t="str">
        <x:v>Core</x:v>
      </x:c>
      <x:c r="B130" s="1" t="n">
        <x:v>35</x:v>
      </x:c>
      <x:c r="C130" s="1" t="n">
        <x:v>1000</x:v>
      </x:c>
      <x:c r="D130" s="1" t="n">
        <x:v>958</x:v>
      </x:c>
      <x:c r="E130" s="7" t="n">
        <x:v>9.34816507518226e+69</x:v>
      </x:c>
      <x:c r="F130" s="7" t="n">
        <x:v>6.588263888369115e+69</x:v>
      </x:c>
      <x:c r="G130" s="7" t="n">
        <x:v>1.2612712159288752e+70</x:v>
      </x:c>
      <x:c r="H130" s="9" t="n">
        <x:f>IF(F130=0,"No spend",E130/F130)</x:f>
        <x:v>1.418911754838093</x:v>
      </x:c>
    </x:row>
    <x:row r="131" ht="21" customHeight="1">
      <x:c r="A131" s="1" t="str">
        <x:v>Core</x:v>
      </x:c>
      <x:c r="B131" s="1" t="n">
        <x:v>36</x:v>
      </x:c>
      <x:c r="C131" s="1" t="n">
        <x:v>1000</x:v>
      </x:c>
      <x:c r="D131" s="1" t="n">
        <x:v>958</x:v>
      </x:c>
      <x:c r="E131" s="7" t="n">
        <x:v>9.116008657752399e+69</x:v>
      </x:c>
      <x:c r="F131" s="7" t="n">
        <x:v>1.3578220284403458e+70</x:v>
      </x:c>
      <x:c r="G131" s="7" t="n">
        <x:v>8.150500532636848e+69</x:v>
      </x:c>
      <x:c r="H131" s="9" t="n">
        <x:f>IF(F131=0,"No spend",E131/F131)</x:f>
        <x:v>0.6713699193865228</x:v>
      </x:c>
    </x:row>
    <x:row r="132" ht="21" customHeight="1">
      <x:c r="A132" s="1" t="str">
        <x:v>Core</x:v>
      </x:c>
      <x:c r="B132" s="1" t="n">
        <x:v>37</x:v>
      </x:c>
      <x:c r="C132" s="1" t="n">
        <x:v>1000</x:v>
      </x:c>
      <x:c r="D132" s="1" t="n">
        <x:v>958</x:v>
      </x:c>
      <x:c r="E132" s="7" t="n">
        <x:v>9.208871224724343e+69</x:v>
      </x:c>
      <x:c r="F132" s="7" t="n">
        <x:v>7.482088680989958e+69</x:v>
      </x:c>
      <x:c r="G132" s="7" t="n">
        <x:v>9.877283076370421e+69</x:v>
      </x:c>
      <x:c r="H132" s="9" t="n">
        <x:f>IF(F132=0,"No spend",E132/F132)</x:f>
        <x:v>1.2307888368286373</x:v>
      </x:c>
    </x:row>
    <x:row r="133" ht="21" customHeight="1">
      <x:c r="A133" s="1" t="str">
        <x:v>Core</x:v>
      </x:c>
      <x:c r="B133" s="1" t="n">
        <x:v>38</x:v>
      </x:c>
      <x:c r="C133" s="1" t="n">
        <x:v>1000</x:v>
      </x:c>
      <x:c r="D133" s="1" t="n">
        <x:v>958</x:v>
      </x:c>
      <x:c r="E133" s="7" t="n">
        <x:v>9.394596358668231e+69</x:v>
      </x:c>
      <x:c r="F133" s="7" t="n">
        <x:v>7.770055900570999e+69</x:v>
      </x:c>
      <x:c r="G133" s="7" t="n">
        <x:v>1.1501823534466965e+70</x:v>
      </x:c>
      <x:c r="H133" s="9" t="n">
        <x:f>IF(F133=0,"No spend",E133/F133)</x:f>
        <x:v>1.2090770618494326</x:v>
      </x:c>
    </x:row>
    <x:row r="134" ht="21" customHeight="1">
      <x:c r="A134" s="1" t="str">
        <x:v>Core</x:v>
      </x:c>
      <x:c r="B134" s="1" t="n">
        <x:v>39</x:v>
      </x:c>
      <x:c r="C134" s="1" t="n">
        <x:v>1000</x:v>
      </x:c>
      <x:c r="D134" s="1" t="n">
        <x:v>958</x:v>
      </x:c>
      <x:c r="E134" s="7" t="n">
        <x:v>9.023146090780455e+69</x:v>
      </x:c>
      <x:c r="F134" s="7" t="n">
        <x:v>7.879986593040211e+69</x:v>
      </x:c>
      <x:c r="G134" s="7" t="n">
        <x:v>1.2644983032206294e+70</x:v>
      </x:c>
      <x:c r="H134" s="9" t="n">
        <x:f>IF(F134=0,"No spend",E134/F134)</x:f>
        <x:v>1.1450712490741937</x:v>
      </x:c>
    </x:row>
    <x:row r="135" ht="21" customHeight="1">
      <x:c r="A135" s="1" t="str">
        <x:v>Core</x:v>
      </x:c>
      <x:c r="B135" s="1" t="n">
        <x:v>40</x:v>
      </x:c>
      <x:c r="C135" s="1" t="n">
        <x:v>1000</x:v>
      </x:c>
      <x:c r="D135" s="1" t="n">
        <x:v>958</x:v>
      </x:c>
      <x:c r="E135" s="7" t="n">
        <x:v>9.34816507518226e+69</x:v>
      </x:c>
      <x:c r="F135" s="7" t="n">
        <x:v>1.3449802330906176e+70</x:v>
      </x:c>
      <x:c r="G135" s="7" t="n">
        <x:v>8.543345776481672e+69</x:v>
      </x:c>
      <x:c r="H135" s="9" t="n">
        <x:f>IF(F135=0,"No spend",E135/F135)</x:f>
        <x:v>0.6950410753399102</x:v>
      </x:c>
    </x:row>
    <x:row r="136" ht="21" customHeight="1">
      <x:c r="A136" s="1" t="str">
        <x:v>Core</x:v>
      </x:c>
      <x:c r="B136" s="1" t="n">
        <x:v>41</x:v>
      </x:c>
      <x:c r="C136" s="1" t="n">
        <x:v>1000</x:v>
      </x:c>
      <x:c r="D136" s="1" t="n">
        <x:v>958</x:v>
      </x:c>
      <x:c r="E136" s="7" t="n">
        <x:v>9.255302508210315e+69</x:v>
      </x:c>
      <x:c r="F136" s="7" t="n">
        <x:v>7.94140980592832e+69</x:v>
      </x:c>
      <x:c r="G136" s="7" t="n">
        <x:v>9.857238478762892e+69</x:v>
      </x:c>
      <x:c r="H136" s="9" t="n">
        <x:f>IF(F136=0,"No spend",E136/F136)</x:f>
        <x:v>1.1654482937401323</x:v>
      </x:c>
    </x:row>
    <x:row r="137" ht="21" customHeight="1">
      <x:c r="A137" s="1" t="str">
        <x:v>Core</x:v>
      </x:c>
      <x:c r="B137" s="1" t="n">
        <x:v>42</x:v>
      </x:c>
      <x:c r="C137" s="1" t="n">
        <x:v>1000</x:v>
      </x:c>
      <x:c r="D137" s="1" t="n">
        <x:v>958</x:v>
      </x:c>
      <x:c r="E137" s="7" t="n">
        <x:v>9.069577374266427e+69</x:v>
      </x:c>
      <x:c r="F137" s="7" t="n">
        <x:v>8.35245453535579e+69</x:v>
      </x:c>
      <x:c r="G137" s="7" t="n">
        <x:v>1.0574361317672629e+70</x:v>
      </x:c>
      <x:c r="H137" s="9" t="n">
        <x:f>IF(F137=0,"No spend",E137/F137)</x:f>
        <x:v>1.0858577362947703</x:v>
      </x:c>
    </x:row>
    <x:row r="138" ht="21" customHeight="1">
      <x:c r="A138" s="1" t="str">
        <x:v>Core</x:v>
      </x:c>
      <x:c r="B138" s="1" t="n">
        <x:v>43</x:v>
      </x:c>
      <x:c r="C138" s="1" t="n">
        <x:v>1000</x:v>
      </x:c>
      <x:c r="D138" s="1" t="n">
        <x:v>959</x:v>
      </x:c>
      <x:c r="E138" s="7" t="n">
        <x:v>9.394596358668231e+69</x:v>
      </x:c>
      <x:c r="F138" s="7" t="n">
        <x:v>1.1126369975598021e+70</x:v>
      </x:c>
      <x:c r="G138" s="7" t="n">
        <x:v>8.842587700742167e+69</x:v>
      </x:c>
      <x:c r="H138" s="9" t="n">
        <x:f>IF(F138=0,"No spend",E138/F138)</x:f>
        <x:v>0.8443541226179018</x:v>
      </x:c>
    </x:row>
    <x:row r="139" ht="21" customHeight="1">
      <x:c r="A139" s="1" t="str">
        <x:v>Core</x:v>
      </x:c>
      <x:c r="B139" s="1" t="n">
        <x:v>44</x:v>
      </x:c>
      <x:c r="C139" s="1" t="n">
        <x:v>1000</x:v>
      </x:c>
      <x:c r="D139" s="1" t="n">
        <x:v>959</x:v>
      </x:c>
      <x:c r="E139" s="7" t="n">
        <x:v>9.162439941238371e+69</x:v>
      </x:c>
      <x:c r="F139" s="7" t="n">
        <x:v>0</x:v>
      </x:c>
      <x:c r="G139" s="7" t="n">
        <x:v>1.8005027641979722e+70</x:v>
      </x:c>
      <x:c r="H139" s="9" t="str">
        <x:f>IF(F139=0,"No spend",E139/F139)</x:f>
        <x:v>No spend</x:v>
      </x:c>
    </x:row>
    <x:row r="140" ht="21" customHeight="1">
      <x:c r="A140" s="1" t="str">
        <x:v>Core</x:v>
      </x:c>
      <x:c r="B140" s="1" t="n">
        <x:v>45</x:v>
      </x:c>
      <x:c r="C140" s="1" t="n">
        <x:v>1000</x:v>
      </x:c>
      <x:c r="D140" s="1" t="n">
        <x:v>959</x:v>
      </x:c>
      <x:c r="E140" s="7" t="n">
        <x:v>9.208871224724343e+69</x:v>
      </x:c>
      <x:c r="F140" s="7" t="n">
        <x:v>8.978506417187969e+69</x:v>
      </x:c>
      <x:c r="G140" s="7" t="n">
        <x:v>1.823539244951532e+70</x:v>
      </x:c>
      <x:c r="H140" s="9" t="n">
        <x:f>IF(F140=0,"No spend",E140/F140)</x:f>
        <x:v>1.0256573640238622</x:v>
      </x:c>
    </x:row>
    <x:row r="141" ht="21" customHeight="1">
      <x:c r="A141" s="1" t="str">
        <x:v>Core</x:v>
      </x:c>
      <x:c r="B141" s="1" t="n">
        <x:v>46</x:v>
      </x:c>
      <x:c r="C141" s="1" t="n">
        <x:v>1000</x:v>
      </x:c>
      <x:c r="D141" s="1" t="n">
        <x:v>959</x:v>
      </x:c>
      <x:c r="E141" s="7" t="n">
        <x:v>9.255302508210315e+69</x:v>
      </x:c>
      <x:c r="F141" s="7" t="n">
        <x:v>9.32406708068518e+69</x:v>
      </x:c>
      <x:c r="G141" s="7" t="n">
        <x:v>1.8166627877039687e+70</x:v>
      </x:c>
      <x:c r="H141" s="9" t="n">
        <x:f>IF(F141=0,"No spend",E141/F141)</x:f>
        <x:v>0.992625045285516</x:v>
      </x:c>
    </x:row>
    <x:row r="142" ht="21" customHeight="1">
      <x:c r="A142" s="1" t="str">
        <x:v>Core</x:v>
      </x:c>
      <x:c r="B142" s="1" t="n">
        <x:v>47</x:v>
      </x:c>
      <x:c r="C142" s="1" t="n">
        <x:v>1000</x:v>
      </x:c>
      <x:c r="D142" s="1" t="n">
        <x:v>959</x:v>
      </x:c>
      <x:c r="E142" s="7" t="n">
        <x:v>9.208871224724343e+69</x:v>
      </x:c>
      <x:c r="F142" s="7" t="n">
        <x:v>9.455983911648273e+69</x:v>
      </x:c>
      <x:c r="G142" s="7" t="n">
        <x:v>1.791951519011499e+70</x:v>
      </x:c>
      <x:c r="H142" s="9" t="n">
        <x:f>IF(F142=0,"No spend",E142/F142)</x:f>
        <x:v>0.9738670571742909</x:v>
      </x:c>
    </x:row>
    <x:row r="143" ht="21" customHeight="1">
      <x:c r="A143" s="1" t="str">
        <x:v>Core</x:v>
      </x:c>
      <x:c r="B143" s="1" t="n">
        <x:v>48</x:v>
      </x:c>
      <x:c r="C143" s="1" t="n">
        <x:v>1000</x:v>
      </x:c>
      <x:c r="D143" s="1" t="n">
        <x:v>959</x:v>
      </x:c>
      <x:c r="E143" s="7" t="n">
        <x:v>9.301733791696287e+69</x:v>
      </x:c>
      <x:c r="F143" s="7" t="n">
        <x:v>9.487099999251553e+69</x:v>
      </x:c>
      <x:c r="G143" s="7" t="n">
        <x:v>1.7734148982559017e+70</x:v>
      </x:c>
      <x:c r="H143" s="9" t="n">
        <x:f>IF(F143=0,"No spend",E143/F143)</x:f>
        <x:v>0.9804612360394758</x:v>
      </x:c>
    </x:row>
    <x:row r="144" ht="21" customHeight="1">
      <x:c r="A144" s="1" t="str">
        <x:v>Core</x:v>
      </x:c>
      <x:c r="B144" s="1" t="n">
        <x:v>49</x:v>
      </x:c>
      <x:c r="C144" s="1" t="n">
        <x:v>1000</x:v>
      </x:c>
      <x:c r="D144" s="1" t="n">
        <x:v>959</x:v>
      </x:c>
      <x:c r="E144" s="7" t="n">
        <x:v>9.116008657752399e+69</x:v>
      </x:c>
      <x:c r="F144" s="7" t="n">
        <x:v>9.529691767114003e+69</x:v>
      </x:c>
      <x:c r="G144" s="7" t="n">
        <x:v>1.7320465873196585e+70</x:v>
      </x:c>
      <x:c r="H144" s="9" t="n">
        <x:f>IF(F144=0,"No spend",E144/F144)</x:f>
        <x:v>0.9565900850236119</x:v>
      </x:c>
    </x:row>
    <x:row r="145" ht="21" customHeight="1">
      <x:c r="A145" s="1" t="str">
        <x:v>Core</x:v>
      </x:c>
      <x:c r="B145" s="1" t="n">
        <x:v>50</x:v>
      </x:c>
      <x:c r="C145" s="1" t="n">
        <x:v>1000</x:v>
      </x:c>
      <x:c r="D145" s="1" t="n">
        <x:v>959</x:v>
      </x:c>
      <x:c r="E145" s="7" t="n">
        <x:v>9.301733791696287e+69</x:v>
      </x:c>
      <x:c r="F145" s="7" t="n">
        <x:v>1.0022945442426958e+70</x:v>
      </x:c>
      <x:c r="G145" s="7" t="n">
        <x:v>1.659925422246518e+70</x:v>
      </x:c>
      <x:c r="H145" s="9" t="n">
        <x:f>IF(F145=0,"No spend",E145/F145)</x:f>
        <x:v>0.9280439412871795</x:v>
      </x:c>
    </x:row>
    <x:row r="146" ht="21" customHeight="1">
      <x:c r="A146" s="1" t="str">
        <x:v>Core</x:v>
      </x:c>
      <x:c r="B146" s="1" t="n">
        <x:v>51</x:v>
      </x:c>
      <x:c r="C146" s="1" t="n">
        <x:v>1000</x:v>
      </x:c>
      <x:c r="D146" s="1" t="n">
        <x:v>960</x:v>
      </x:c>
      <x:c r="E146" s="7" t="n">
        <x:v>9.208871224724343e+69</x:v>
      </x:c>
      <x:c r="F146" s="7" t="n">
        <x:v>1.3129116571205635e+70</x:v>
      </x:c>
      <x:c r="G146" s="7" t="n">
        <x:v>1.2679008875983072e+70</x:v>
      </x:c>
      <x:c r="H146" s="9" t="n">
        <x:f>IF(F146=0,"No spend",E146/F146)</x:f>
        <x:v>0.7014082916226785</x:v>
      </x:c>
    </x:row>
    <x:row r="147" ht="21" customHeight="1">
      <x:c r="A147" s="1" t="str">
        <x:v>Core</x:v>
      </x:c>
      <x:c r="B147" s="1" t="n">
        <x:v>52</x:v>
      </x:c>
      <x:c r="C147" s="1" t="n">
        <x:v>1000</x:v>
      </x:c>
      <x:c r="D147" s="1" t="n">
        <x:v>960</x:v>
      </x:c>
      <x:c r="E147" s="7" t="n">
        <x:v>9.162439941238371e+69</x:v>
      </x:c>
      <x:c r="F147" s="7" t="n">
        <x:v>1.0774207700625524e+70</x:v>
      </x:c>
      <x:c r="G147" s="7" t="n">
        <x:v>1.1067241116595099e+70</x:v>
      </x:c>
      <x:c r="H147" s="9" t="n">
        <x:f>IF(F147=0,"No spend",E147/F147)</x:f>
        <x:v>0.850404985297102</x:v>
      </x:c>
    </x:row>
    <x:row r="148" ht="21" customHeight="1">
      <x:c r="A148" s="1" t="str">
        <x:v>Core</x:v>
      </x:c>
      <x:c r="B148" s="1" t="n">
        <x:v>53</x:v>
      </x:c>
      <x:c r="C148" s="1" t="n">
        <x:v>1000</x:v>
      </x:c>
      <x:c r="D148" s="1" t="n">
        <x:v>960</x:v>
      </x:c>
      <x:c r="E148" s="7" t="n">
        <x:v>9.394596358668231e+69</x:v>
      </x:c>
      <x:c r="F148" s="7" t="n">
        <x:v>0</x:v>
      </x:c>
      <x:c r="G148" s="7" t="n">
        <x:v>2.0461837475262672e+70</x:v>
      </x:c>
      <x:c r="H148" s="9" t="str">
        <x:f>IF(F148=0,"No spend",E148/F148)</x:f>
        <x:v>No spend</x:v>
      </x:c>
    </x:row>
    <x:row r="149" ht="21" customHeight="1">
      <x:c r="A149" s="1" t="str">
        <x:v>Core</x:v>
      </x:c>
      <x:c r="B149" s="1" t="n">
        <x:v>54</x:v>
      </x:c>
      <x:c r="C149" s="1" t="n">
        <x:v>1000</x:v>
      </x:c>
      <x:c r="D149" s="1" t="n">
        <x:v>960</x:v>
      </x:c>
      <x:c r="E149" s="7" t="n">
        <x:v>9.069577374266427e+69</x:v>
      </x:c>
      <x:c r="F149" s="7" t="n">
        <x:v>7.761439930808478e+69</x:v>
      </x:c>
      <x:c r="G149" s="7" t="n">
        <x:v>2.1769974918719716e+70</x:v>
      </x:c>
      <x:c r="H149" s="9" t="n">
        <x:f>IF(F149=0,"No spend",E149/F149)</x:f>
        <x:v>1.168543138273272</x:v>
      </x:c>
    </x:row>
    <x:row r="150" ht="21" customHeight="1">
      <x:c r="A150" s="1" t="str">
        <x:v>Core</x:v>
      </x:c>
      <x:c r="B150" s="1" t="n">
        <x:v>55</x:v>
      </x:c>
      <x:c r="C150" s="1" t="n">
        <x:v>1000</x:v>
      </x:c>
      <x:c r="D150" s="1" t="n">
        <x:v>960</x:v>
      </x:c>
      <x:c r="E150" s="7" t="n">
        <x:v>9.208871224724343e+69</x:v>
      </x:c>
      <x:c r="F150" s="7" t="n">
        <x:v>1.1188880496822235e+70</x:v>
      </x:c>
      <x:c r="G150" s="7" t="n">
        <x:v>1.978996564662105e+70</x:v>
      </x:c>
      <x:c r="H150" s="9" t="n">
        <x:f>IF(F150=0,"No spend",E150/F150)</x:f>
        <x:v>0.8230377674817211</x:v>
      </x:c>
    </x:row>
    <x:row r="151" ht="21" customHeight="1">
      <x:c r="A151" s="1" t="str">
        <x:v>Core</x:v>
      </x:c>
      <x:c r="B151" s="1" t="n">
        <x:v>56</x:v>
      </x:c>
      <x:c r="C151" s="1" t="n">
        <x:v>1000</x:v>
      </x:c>
      <x:c r="D151" s="1" t="n">
        <x:v>960</x:v>
      </x:c>
      <x:c r="E151" s="7" t="n">
        <x:v>9.34816507518226e+69</x:v>
      </x:c>
      <x:c r="F151" s="7" t="n">
        <x:v>1.1347180693977908e+70</x:v>
      </x:c>
      <x:c r="G151" s="7" t="n">
        <x:v>1.7790950027824717e+70</x:v>
      </x:c>
      <x:c r="H151" s="9" t="n">
        <x:f>IF(F151=0,"No spend",E151/F151)</x:f>
        <x:v>0.8238315161530343</x:v>
      </x:c>
    </x:row>
    <x:row r="152" ht="21" customHeight="1">
      <x:c r="A152" s="1" t="str">
        <x:v>Core</x:v>
      </x:c>
      <x:c r="B152" s="1" t="n">
        <x:v>57</x:v>
      </x:c>
      <x:c r="C152" s="1" t="n">
        <x:v>1000</x:v>
      </x:c>
      <x:c r="D152" s="1" t="n">
        <x:v>960</x:v>
      </x:c>
      <x:c r="E152" s="7" t="n">
        <x:v>9.116008657752399e+69</x:v>
      </x:c>
      <x:c r="F152" s="7" t="n">
        <x:v>1.1384519999101884e+70</x:v>
      </x:c>
      <x:c r="G152" s="7" t="n">
        <x:v>1.5522438686474447e+70</x:v>
      </x:c>
      <x:c r="H152" s="9" t="n">
        <x:f>IF(F152=0,"No spend",E152/F152)</x:f>
        <x:v>0.8007371991503861</x:v>
      </x:c>
    </x:row>
    <x:row r="153" ht="21" customHeight="1">
      <x:c r="A153" s="1" t="str">
        <x:v>Core</x:v>
      </x:c>
      <x:c r="B153" s="1" t="n">
        <x:v>58</x:v>
      </x:c>
      <x:c r="C153" s="1" t="n">
        <x:v>1000</x:v>
      </x:c>
      <x:c r="D153" s="1" t="n">
        <x:v>960</x:v>
      </x:c>
      <x:c r="E153" s="7" t="n">
        <x:v>9.301733791696287e+69</x:v>
      </x:c>
      <x:c r="F153" s="7" t="n">
        <x:v>1.1435630120536824e+70</x:v>
      </x:c>
      <x:c r="G153" s="7" t="n">
        <x:v>1.3388542357633237e+70</x:v>
      </x:c>
      <x:c r="H153" s="9" t="n">
        <x:f>IF(F153=0,"No spend",E153/F153)</x:f>
        <x:v>0.8133993224380044</x:v>
      </x:c>
    </x:row>
    <x:row r="154" ht="21" customHeight="1">
      <x:c r="A154" s="1" t="str">
        <x:v>Core</x:v>
      </x:c>
      <x:c r="B154" s="1" t="n">
        <x:v>59</x:v>
      </x:c>
      <x:c r="C154" s="1" t="n">
        <x:v>1000</x:v>
      </x:c>
      <x:c r="D154" s="1" t="n">
        <x:v>960</x:v>
      </x:c>
      <x:c r="E154" s="7" t="n">
        <x:v>9.208871224724343e+69</x:v>
      </x:c>
      <x:c r="F154" s="7" t="n">
        <x:v>0</x:v>
      </x:c>
      <x:c r="G154" s="7" t="n">
        <x:v>2.259741358235681e+70</x:v>
      </x:c>
      <x:c r="H154" s="9" t="str">
        <x:f>IF(F154=0,"No spend",E154/F154)</x:f>
        <x:v>No spend</x:v>
      </x:c>
    </x:row>
    <x:row r="155" ht="21" customHeight="1">
      <x:c r="A155" s="1" t="str">
        <x:v>Core</x:v>
      </x:c>
      <x:c r="B155" s="1" t="n">
        <x:v>60</x:v>
      </x:c>
      <x:c r="C155" s="1" t="n">
        <x:v>1000</x:v>
      </x:c>
      <x:c r="D155" s="1" t="n">
        <x:v>961</x:v>
      </x:c>
      <x:c r="E155" s="7" t="n">
        <x:v>9.162439941238371e+69</x:v>
      </x:c>
      <x:c r="F155" s="7" t="n">
        <x:v>1.5492357554022704e+70</x:v>
      </x:c>
      <x:c r="G155" s="7" t="n">
        <x:v>1.6267495969571684e+70</x:v>
      </x:c>
      <x:c r="H155" s="9" t="n">
        <x:f>IF(F155=0,"No spend",E155/F155)</x:f>
        <x:v>0.5914167620575783</x:v>
      </x:c>
    </x:row>
    <x:row r="156" ht="21" customHeight="1">
      <x:c r="A156" s="1" t="str">
        <x:v>Core</x:v>
      </x:c>
      <x:c r="B156" s="1" t="n">
        <x:v>61</x:v>
      </x:c>
      <x:c r="C156" s="1" t="n">
        <x:v>1000</x:v>
      </x:c>
      <x:c r="D156" s="1" t="n">
        <x:v>961</x:v>
      </x:c>
      <x:c r="E156" s="7" t="n">
        <x:v>9.301733791696287e+69</x:v>
      </x:c>
      <x:c r="F156" s="7" t="n">
        <x:v>1.2027534530912311e+70</x:v>
      </x:c>
      <x:c r="G156" s="7" t="n">
        <x:v>1.35416952303549e+70</x:v>
      </x:c>
      <x:c r="H156" s="9" t="n">
        <x:f>IF(F156=0,"No spend",E156/F156)</x:f>
        <x:v>0.773369951072652</x:v>
      </x:c>
    </x:row>
    <x:row r="157" ht="21" customHeight="1">
      <x:c r="A157" s="1" t="str">
        <x:v>Core</x:v>
      </x:c>
      <x:c r="B157" s="1" t="n">
        <x:v>62</x:v>
      </x:c>
      <x:c r="C157" s="1" t="n">
        <x:v>1000</x:v>
      </x:c>
      <x:c r="D157" s="1" t="n">
        <x:v>961</x:v>
      </x:c>
      <x:c r="E157" s="7" t="n">
        <x:v>9.208871224724343e+69</x:v>
      </x:c>
      <x:c r="F157" s="7" t="n">
        <x:v>0</x:v>
      </x:c>
      <x:c r="G157" s="7" t="n">
        <x:v>2.2750566455078477e+70</x:v>
      </x:c>
      <x:c r="H157" s="9" t="str">
        <x:f>IF(F157=0,"No spend",E157/F157)</x:f>
        <x:v>No spend</x:v>
      </x:c>
    </x:row>
    <x:row r="158" ht="21" customHeight="1">
      <x:c r="A158" s="1" t="str">
        <x:v>Core</x:v>
      </x:c>
      <x:c r="B158" s="1" t="n">
        <x:v>63</x:v>
      </x:c>
      <x:c r="C158" s="1" t="n">
        <x:v>1000</x:v>
      </x:c>
      <x:c r="D158" s="1" t="n">
        <x:v>961</x:v>
      </x:c>
      <x:c r="E158" s="7" t="n">
        <x:v>9.255302508210315e+69</x:v>
      </x:c>
      <x:c r="F158" s="7" t="n">
        <x:v>1.2929049240750609e+70</x:v>
      </x:c>
      <x:c r="G158" s="7" t="n">
        <x:v>1.9076819722537405e+70</x:v>
      </x:c>
      <x:c r="H158" s="9" t="n">
        <x:f>IF(F158=0,"No spend",E158/F158)</x:f>
        <x:v>0.7158532956188965</x:v>
      </x:c>
    </x:row>
    <x:row r="159" ht="21" customHeight="1">
      <x:c r="A159" s="1" t="str">
        <x:v>Core</x:v>
      </x:c>
      <x:c r="B159" s="1" t="n">
        <x:v>64</x:v>
      </x:c>
      <x:c r="C159" s="1" t="n">
        <x:v>1000</x:v>
      </x:c>
      <x:c r="D159" s="1" t="n">
        <x:v>961</x:v>
      </x:c>
      <x:c r="E159" s="7" t="n">
        <x:v>9.208871224724343e+69</x:v>
      </x:c>
      <x:c r="F159" s="7" t="n">
        <x:v>1.3426656596186643e+70</x:v>
      </x:c>
      <x:c r="G159" s="7" t="n">
        <x:v>1.4859034351074305e+70</x:v>
      </x:c>
      <x:c r="H159" s="9" t="n">
        <x:f>IF(F159=0,"No spend",E159/F159)</x:f>
        <x:v>0.6858648062347696</x:v>
      </x:c>
    </x:row>
    <x:row r="160" ht="21" customHeight="1">
      <x:c r="A160" s="1" t="str">
        <x:v>Core</x:v>
      </x:c>
      <x:c r="B160" s="1" t="n">
        <x:v>65</x:v>
      </x:c>
      <x:c r="C160" s="1" t="n">
        <x:v>1000</x:v>
      </x:c>
      <x:c r="D160" s="1" t="n">
        <x:v>961</x:v>
      </x:c>
      <x:c r="E160" s="7" t="n">
        <x:v>9.162439941238371e+69</x:v>
      </x:c>
      <x:c r="F160" s="7" t="n">
        <x:v>0</x:v>
      </x:c>
      <x:c r="G160" s="7" t="n">
        <x:v>2.402147429231188e+70</x:v>
      </x:c>
      <x:c r="H160" s="9" t="str">
        <x:f>IF(F160=0,"No spend",E160/F160)</x:f>
        <x:v>No spend</x:v>
      </x:c>
    </x:row>
    <x:row r="161" ht="21" customHeight="1">
      <x:c r="A161" s="1" t="str">
        <x:v>Core</x:v>
      </x:c>
      <x:c r="B161" s="1" t="n">
        <x:v>66</x:v>
      </x:c>
      <x:c r="C161" s="1" t="n">
        <x:v>1000</x:v>
      </x:c>
      <x:c r="D161" s="1" t="n">
        <x:v>961</x:v>
      </x:c>
      <x:c r="E161" s="7" t="n">
        <x:v>9.301733791696287e+69</x:v>
      </x:c>
      <x:c r="F161" s="7" t="n">
        <x:v>1.361661683277347e+70</x:v>
      </x:c>
      <x:c r="G161" s="7" t="n">
        <x:v>1.970659125123398e+70</x:v>
      </x:c>
      <x:c r="H161" s="9" t="n">
        <x:f>IF(F161=0,"No spend",E161/F161)</x:f>
        <x:v>0.6831163648012915</x:v>
      </x:c>
    </x:row>
    <x:row r="162" ht="21" customHeight="1">
      <x:c r="A162" s="1" t="str">
        <x:v>Core</x:v>
      </x:c>
      <x:c r="B162" s="1" t="n">
        <x:v>67</x:v>
      </x:c>
      <x:c r="C162" s="1" t="n">
        <x:v>1000</x:v>
      </x:c>
      <x:c r="D162" s="1" t="n">
        <x:v>961</x:v>
      </x:c>
      <x:c r="E162" s="7" t="n">
        <x:v>9.162439941238371e+69</x:v>
      </x:c>
      <x:c r="F162" s="7" t="n">
        <x:v>1.3661423998922221e+70</x:v>
      </x:c>
      <x:c r="G162" s="7" t="n">
        <x:v>1.520760719354935e+70</x:v>
      </x:c>
      <x:c r="H162" s="9" t="n">
        <x:f>IF(F162=0,"No spend",E162/F162)</x:f>
        <x:v>0.6706797140591797</x:v>
      </x:c>
    </x:row>
    <x:row r="163" ht="21" customHeight="1">
      <x:c r="A163" s="1" t="str">
        <x:v>Core</x:v>
      </x:c>
      <x:c r="B163" s="1" t="n">
        <x:v>68</x:v>
      </x:c>
      <x:c r="C163" s="1" t="n">
        <x:v>1000</x:v>
      </x:c>
      <x:c r="D163" s="1" t="n">
        <x:v>961</x:v>
      </x:c>
      <x:c r="E163" s="7" t="n">
        <x:v>9.301733791696287e+69</x:v>
      </x:c>
      <x:c r="F163" s="7" t="n">
        <x:v>0</x:v>
      </x:c>
      <x:c r="G163" s="7" t="n">
        <x:v>2.4509340985244933e+70</x:v>
      </x:c>
      <x:c r="H163" s="9" t="str">
        <x:f>IF(F163=0,"No spend",E163/F163)</x:f>
        <x:v>No spend</x:v>
      </x:c>
    </x:row>
    <x:row r="164" ht="21" customHeight="1">
      <x:c r="A164" s="1" t="str">
        <x:v>Core</x:v>
      </x:c>
      <x:c r="B164" s="1" t="n">
        <x:v>69</x:v>
      </x:c>
      <x:c r="C164" s="1" t="n">
        <x:v>1000</x:v>
      </x:c>
      <x:c r="D164" s="1" t="n">
        <x:v>961</x:v>
      </x:c>
      <x:c r="E164" s="7" t="n">
        <x:v>9.208871224724343e+69</x:v>
      </x:c>
      <x:c r="F164" s="7" t="n">
        <x:v>1.3722756144644169e+70</x:v>
      </x:c>
      <x:c r="G164" s="7" t="n">
        <x:v>1.9995456065324366e+70</x:v>
      </x:c>
      <x:c r="H164" s="9" t="n">
        <x:f>IF(F164=0,"No spend",E164/F164)</x:f>
        <x:v>0.6710657194268119</x:v>
      </x:c>
    </x:row>
    <x:row r="165" ht="21" customHeight="1">
      <x:c r="A165" s="1" t="str">
        <x:v>Core</x:v>
      </x:c>
      <x:c r="B165" s="1" t="n">
        <x:v>70</x:v>
      </x:c>
      <x:c r="C165" s="1" t="n">
        <x:v>1000</x:v>
      </x:c>
      <x:c r="D165" s="1" t="n">
        <x:v>962</x:v>
      </x:c>
      <x:c r="E165" s="7" t="n">
        <x:v>9.116008657752399e+69</x:v>
      </x:c>
      <x:c r="F165" s="7" t="n">
        <x:v>1.8280981913746743e+70</x:v>
      </x:c>
      <x:c r="G165" s="7" t="n">
        <x:v>1.0830482809329181e+70</x:v>
      </x:c>
      <x:c r="H165" s="9" t="n">
        <x:f>IF(F165=0,"No spend",E165/F165)</x:f>
        <x:v>0.49866077767395184</x:v>
      </x:c>
    </x:row>
    <x:row r="166" ht="21" customHeight="1">
      <x:c r="A166" s="1" t="str">
        <x:v>Core</x:v>
      </x:c>
      <x:c r="B166" s="1" t="n">
        <x:v>71</x:v>
      </x:c>
      <x:c r="C166" s="1" t="n">
        <x:v>1000</x:v>
      </x:c>
      <x:c r="D166" s="1" t="n">
        <x:v>962</x:v>
      </x:c>
      <x:c r="E166" s="7" t="n">
        <x:v>9.394596358668231e+69</x:v>
      </x:c>
      <x:c r="F166" s="7" t="n">
        <x:v>0</x:v>
      </x:c>
      <x:c r="G166" s="7" t="n">
        <x:v>2.0225079167996748e+70</x:v>
      </x:c>
      <x:c r="H166" s="9" t="str">
        <x:f>IF(F166=0,"No spend",E166/F166)</x:f>
        <x:v>No spend</x:v>
      </x:c>
    </x:row>
    <x:row r="167" ht="21" customHeight="1">
      <x:c r="A167" s="1" t="str">
        <x:v>Core</x:v>
      </x:c>
      <x:c r="B167" s="1" t="n">
        <x:v>72</x:v>
      </x:c>
      <x:c r="C167" s="1" t="n">
        <x:v>1000</x:v>
      </x:c>
      <x:c r="D167" s="1" t="n">
        <x:v>962</x:v>
      </x:c>
      <x:c r="E167" s="7" t="n">
        <x:v>9.162439941238371e+69</x:v>
      </x:c>
      <x:c r="F167" s="7" t="n">
        <x:v>1.443304143709485e+70</x:v>
      </x:c>
      <x:c r="G167" s="7" t="n">
        <x:v>1.4954477672139476e+70</x:v>
      </x:c>
      <x:c r="H167" s="9" t="n">
        <x:f>IF(F167=0,"No spend",E167/F167)</x:f>
        <x:v>0.6348239199043434</x:v>
      </x:c>
    </x:row>
    <x:row r="168" ht="21" customHeight="1">
      <x:c r="A168" s="1" t="str">
        <x:v>Core</x:v>
      </x:c>
      <x:c r="B168" s="1" t="n">
        <x:v>73</x:v>
      </x:c>
      <x:c r="C168" s="1" t="n">
        <x:v>1000</x:v>
      </x:c>
      <x:c r="D168" s="1" t="n">
        <x:v>962</x:v>
      </x:c>
      <x:c r="E168" s="7" t="n">
        <x:v>9.208871224724343e+69</x:v>
      </x:c>
      <x:c r="F168" s="7" t="n">
        <x:v>0</x:v>
      </x:c>
      <x:c r="G168" s="7" t="n">
        <x:v>2.4163348896863053e+70</x:v>
      </x:c>
      <x:c r="H168" s="9" t="str">
        <x:f>IF(F168=0,"No spend",E168/F168)</x:f>
        <x:v>No spend</x:v>
      </x:c>
    </x:row>
    <x:row r="169" ht="21" customHeight="1">
      <x:c r="A169" s="1" t="str">
        <x:v>Core</x:v>
      </x:c>
      <x:c r="B169" s="1" t="n">
        <x:v>74</x:v>
      </x:c>
      <x:c r="C169" s="1" t="n">
        <x:v>1000</x:v>
      </x:c>
      <x:c r="D169" s="1" t="n">
        <x:v>962</x:v>
      </x:c>
      <x:c r="E169" s="7" t="n">
        <x:v>9.301733791696287e+69</x:v>
      </x:c>
      <x:c r="F169" s="7" t="n">
        <x:v>1.551485908890079e+70</x:v>
      </x:c>
      <x:c r="G169" s="7" t="n">
        <x:v>1.7950223599657818e+70</x:v>
      </x:c>
      <x:c r="H169" s="9" t="n">
        <x:f>IF(F169=0,"No spend",E169/F169)</x:f>
        <x:v>0.599537110739902</x:v>
      </x:c>
    </x:row>
    <x:row r="170" ht="21" customHeight="1">
      <x:c r="A170" s="1" t="str">
        <x:v>Core</x:v>
      </x:c>
      <x:c r="B170" s="1" t="n">
        <x:v>75</x:v>
      </x:c>
      <x:c r="C170" s="1" t="n">
        <x:v>1000</x:v>
      </x:c>
      <x:c r="D170" s="1" t="n">
        <x:v>962</x:v>
      </x:c>
      <x:c r="E170" s="7" t="n">
        <x:v>9.116008657752399e+69</x:v>
      </x:c>
      <x:c r="F170" s="7" t="n">
        <x:v>0</x:v>
      </x:c>
      <x:c r="G170" s="7" t="n">
        <x:v>2.706623225740939e+70</x:v>
      </x:c>
      <x:c r="H170" s="9" t="str">
        <x:f>IF(F170=0,"No spend",E170/F170)</x:f>
        <x:v>No spend</x:v>
      </x:c>
    </x:row>
    <x:row r="171" ht="21" customHeight="1">
      <x:c r="A171" s="1" t="str">
        <x:v>Core</x:v>
      </x:c>
      <x:c r="B171" s="1" t="n">
        <x:v>76</x:v>
      </x:c>
      <x:c r="C171" s="1" t="n">
        <x:v>1000</x:v>
      </x:c>
      <x:c r="D171" s="1" t="n">
        <x:v>962</x:v>
      </x:c>
      <x:c r="E171" s="7" t="n">
        <x:v>9.301733791696287e+69</x:v>
      </x:c>
      <x:c r="F171" s="7" t="n">
        <x:v>1.0866015903131948e+70</x:v>
      </x:c>
      <x:c r="G171" s="7" t="n">
        <x:v>2.5501950145972994e+70</x:v>
      </x:c>
      <x:c r="H171" s="9" t="n">
        <x:f>IF(F171=0,"No spend",E171/F171)</x:f>
        <x:v>0.8560390371796914</x:v>
      </x:c>
    </x:row>
    <x:row r="172" ht="21" customHeight="1">
      <x:c r="A172" s="1" t="str">
        <x:v>Core</x:v>
      </x:c>
      <x:c r="B172" s="1" t="n">
        <x:v>77</x:v>
      </x:c>
      <x:c r="C172" s="1" t="n">
        <x:v>1000</x:v>
      </x:c>
      <x:c r="D172" s="1" t="n">
        <x:v>962</x:v>
      </x:c>
      <x:c r="E172" s="7" t="n">
        <x:v>9.208871224724343e+69</x:v>
      </x:c>
      <x:c r="F172" s="7" t="n">
        <x:v>1.611198791542399e+70</x:v>
      </x:c>
      <x:c r="G172" s="7" t="n">
        <x:v>1.8598833455272524e+70</x:v>
      </x:c>
      <x:c r="H172" s="9" t="n">
        <x:f>IF(F172=0,"No spend",E172/F172)</x:f>
        <x:v>0.5715540051956407</x:v>
      </x:c>
    </x:row>
    <x:row r="173" ht="21" customHeight="1">
      <x:c r="A173" s="1" t="str">
        <x:v>Core</x:v>
      </x:c>
      <x:c r="B173" s="1" t="n">
        <x:v>78</x:v>
      </x:c>
      <x:c r="C173" s="1" t="n">
        <x:v>1000</x:v>
      </x:c>
      <x:c r="D173" s="1" t="n">
        <x:v>962</x:v>
      </x:c>
      <x:c r="E173" s="7" t="n">
        <x:v>9.208871224724343e+69</x:v>
      </x:c>
      <x:c r="F173" s="7" t="n">
        <x:v>0</x:v>
      </x:c>
      <x:c r="G173" s="7" t="n">
        <x:v>2.7807704679996095e+70</x:v>
      </x:c>
      <x:c r="H173" s="9" t="str">
        <x:f>IF(F173=0,"No spend",E173/F173)</x:f>
        <x:v>No spend</x:v>
      </x:c>
    </x:row>
    <x:row r="174" ht="21" customHeight="1">
      <x:c r="A174" s="1" t="str">
        <x:v>Core</x:v>
      </x:c>
      <x:c r="B174" s="1" t="n">
        <x:v>79</x:v>
      </x:c>
      <x:c r="C174" s="1" t="n">
        <x:v>1000</x:v>
      </x:c>
      <x:c r="D174" s="1" t="n">
        <x:v>962</x:v>
      </x:c>
      <x:c r="E174" s="7" t="n">
        <x:v>9.255302508210315e+69</x:v>
      </x:c>
      <x:c r="F174" s="7" t="n">
        <x:v>1.6339940199328144e+70</x:v>
      </x:c>
      <x:c r="G174" s="7" t="n">
        <x:v>2.0723066988877454e+70</x:v>
      </x:c>
      <x:c r="H174" s="9" t="n">
        <x:f>IF(F174=0,"No spend",E174/F174)</x:f>
        <x:v>0.5664220551181007</x:v>
      </x:c>
    </x:row>
    <x:row r="175" ht="21" customHeight="1">
      <x:c r="A175" s="1" t="str">
        <x:v>Core</x:v>
      </x:c>
      <x:c r="B175" s="1" t="n">
        <x:v>80</x:v>
      </x:c>
      <x:c r="C175" s="1" t="n">
        <x:v>1000</x:v>
      </x:c>
      <x:c r="D175" s="1" t="n">
        <x:v>962</x:v>
      </x:c>
      <x:c r="E175" s="7" t="n">
        <x:v>9.162439941238371e+69</x:v>
      </x:c>
      <x:c r="F175" s="7" t="n">
        <x:v>0</x:v>
      </x:c>
      <x:c r="G175" s="7" t="n">
        <x:v>2.9885506930115006e+70</x:v>
      </x:c>
      <x:c r="H175" s="9" t="str">
        <x:f>IF(F175=0,"No spend",E175/F175)</x:f>
        <x:v>No spend</x:v>
      </x:c>
    </x:row>
    <x:row r="176" ht="21" customHeight="1">
      <x:c r="A176" s="1" t="str">
        <x:v>Core</x:v>
      </x:c>
      <x:c r="B176" s="1" t="n">
        <x:v>81</x:v>
      </x:c>
      <x:c r="C176" s="1" t="n">
        <x:v>1000</x:v>
      </x:c>
      <x:c r="D176" s="1" t="n">
        <x:v>962</x:v>
      </x:c>
      <x:c r="E176" s="7" t="n">
        <x:v>9.34816507518226e+69</x:v>
      </x:c>
      <x:c r="F176" s="7" t="n">
        <x:v>1.6393708798706646e+70</x:v>
      </x:c>
      <x:c r="G176" s="7" t="n">
        <x:v>2.2839963206589915e+70</x:v>
      </x:c>
      <x:c r="H176" s="9" t="n">
        <x:f>IF(F176=0,"No spend",E176/F176)</x:f>
        <x:v>0.5702288109399484</x:v>
      </x:c>
    </x:row>
    <x:row r="177" ht="21" customHeight="1">
      <x:c r="A177" s="1" t="str">
        <x:v>Core</x:v>
      </x:c>
      <x:c r="B177" s="1" t="n">
        <x:v>82</x:v>
      </x:c>
      <x:c r="C177" s="1" t="n">
        <x:v>1000</x:v>
      </x:c>
      <x:c r="D177" s="1" t="n">
        <x:v>962</x:v>
      </x:c>
      <x:c r="E177" s="7" t="n">
        <x:v>9.116008657752399e+69</x:v>
      </x:c>
      <x:c r="F177" s="7" t="n">
        <x:v>0</x:v>
      </x:c>
      <x:c r="G177" s="7" t="n">
        <x:v>3.195597186434144e+70</x:v>
      </x:c>
      <x:c r="H177" s="9" t="str">
        <x:f>IF(F177=0,"No spend",E177/F177)</x:f>
        <x:v>No spend</x:v>
      </x:c>
    </x:row>
    <x:row r="178" ht="21" customHeight="1">
      <x:c r="A178" s="1" t="str">
        <x:v>Core</x:v>
      </x:c>
      <x:c r="B178" s="1" t="n">
        <x:v>83</x:v>
      </x:c>
      <x:c r="C178" s="1" t="n">
        <x:v>1000</x:v>
      </x:c>
      <x:c r="D178" s="1" t="n">
        <x:v>962</x:v>
      </x:c>
      <x:c r="E178" s="7" t="n">
        <x:v>9.255302508210315e+69</x:v>
      </x:c>
      <x:c r="F178" s="7" t="n">
        <x:v>1.6467307373573002e+70</x:v>
      </x:c>
      <x:c r="G178" s="7" t="n">
        <x:v>2.4743966998978036e+70</x:v>
      </x:c>
      <x:c r="H178" s="9" t="n">
        <x:f>IF(F178=0,"No spend",E178/F178)</x:f>
        <x:v>0.5620410367188124</x:v>
      </x:c>
    </x:row>
    <x:row r="179" ht="21" customHeight="1">
      <x:c r="A179" s="1" t="str">
        <x:v>Core</x:v>
      </x:c>
      <x:c r="B179" s="1" t="n">
        <x:v>84</x:v>
      </x:c>
      <x:c r="C179" s="1" t="n">
        <x:v>1000</x:v>
      </x:c>
      <x:c r="D179" s="1" t="n">
        <x:v>963</x:v>
      </x:c>
      <x:c r="E179" s="7" t="n">
        <x:v>9.301733791696287e+69</x:v>
      </x:c>
      <x:c r="F179" s="7" t="n">
        <x:v>2.1571558658221198e+70</x:v>
      </x:c>
      <x:c r="G179" s="7" t="n">
        <x:v>1.2474142132452367e+70</x:v>
      </x:c>
      <x:c r="H179" s="9" t="n">
        <x:f>IF(F179=0,"No spend",E179/F179)</x:f>
        <x:v>0.43120360188489565</x:v>
      </x:c>
    </x:row>
    <x:row r="180" ht="21" customHeight="1">
      <x:c r="A180" s="1" t="str">
        <x:v>Core</x:v>
      </x:c>
      <x:c r="B180" s="1" t="n">
        <x:v>85</x:v>
      </x:c>
      <x:c r="C180" s="1" t="n">
        <x:v>1000</x:v>
      </x:c>
      <x:c r="D180" s="1" t="n">
        <x:v>963</x:v>
      </x:c>
      <x:c r="E180" s="7" t="n">
        <x:v>9.069577374266427e+69</x:v>
      </x:c>
      <x:c r="F180" s="7" t="n">
        <x:v>0</x:v>
      </x:c>
      <x:c r="G180" s="7" t="n">
        <x:v>2.1543719506717927e+70</x:v>
      </x:c>
      <x:c r="H180" s="9" t="str">
        <x:f>IF(F180=0,"No spend",E180/F180)</x:f>
        <x:v>No spend</x:v>
      </x:c>
    </x:row>
    <x:row r="181" ht="21" customHeight="1">
      <x:c r="A181" s="1" t="str">
        <x:v>Core</x:v>
      </x:c>
      <x:c r="B181" s="1" t="n">
        <x:v>86</x:v>
      </x:c>
      <x:c r="C181" s="1" t="n">
        <x:v>1000</x:v>
      </x:c>
      <x:c r="D181" s="1" t="n">
        <x:v>963</x:v>
      </x:c>
      <x:c r="E181" s="7" t="n">
        <x:v>9.394596358668231e+69</x:v>
      </x:c>
      <x:c r="F181" s="7" t="n">
        <x:v>0</x:v>
      </x:c>
      <x:c r="G181" s="7" t="n">
        <x:v>3.0938315865385475e+70</x:v>
      </x:c>
      <x:c r="H181" s="9" t="str">
        <x:f>IF(F181=0,"No spend",E181/F181)</x:f>
        <x:v>No spend</x:v>
      </x:c>
    </x:row>
    <x:row r="182" ht="21" customHeight="1">
      <x:c r="A182" s="1" t="str">
        <x:v>Core</x:v>
      </x:c>
      <x:c r="B182" s="1" t="n">
        <x:v>87</x:v>
      </x:c>
      <x:c r="C182" s="1" t="n">
        <x:v>1000</x:v>
      </x:c>
      <x:c r="D182" s="1" t="n">
        <x:v>963</x:v>
      </x:c>
      <x:c r="E182" s="7" t="n">
        <x:v>9.162439941238371e+69</x:v>
      </x:c>
      <x:c r="F182" s="7" t="n">
        <x:v>1.7319649724513783e+70</x:v>
      </x:c>
      <x:c r="G182" s="7" t="n">
        <x:v>2.278110608210924e+70</x:v>
      </x:c>
      <x:c r="H182" s="9" t="n">
        <x:f>IF(F182=0,"No spend",E182/F182)</x:f>
        <x:v>0.5290199332536206</x:v>
      </x:c>
    </x:row>
    <x:row r="183" ht="21" customHeight="1">
      <x:c r="A183" s="1" t="str">
        <x:v>Core</x:v>
      </x:c>
      <x:c r="B183" s="1" t="n">
        <x:v>88</x:v>
      </x:c>
      <x:c r="C183" s="1" t="n">
        <x:v>1000</x:v>
      </x:c>
      <x:c r="D183" s="1" t="n">
        <x:v>963</x:v>
      </x:c>
      <x:c r="E183" s="7" t="n">
        <x:v>9.116008657752399e+69</x:v>
      </x:c>
      <x:c r="F183" s="7" t="n">
        <x:v>0</x:v>
      </x:c>
      <x:c r="G183" s="7" t="n">
        <x:v>3.189711473986079e+70</x:v>
      </x:c>
      <x:c r="H183" s="9" t="str">
        <x:f>IF(F183=0,"No spend",E183/F183)</x:f>
        <x:v>No spend</x:v>
      </x:c>
    </x:row>
    <x:row r="184" ht="21" customHeight="1">
      <x:c r="A184" s="1" t="str">
        <x:v>Core</x:v>
      </x:c>
      <x:c r="B184" s="1" t="n">
        <x:v>89</x:v>
      </x:c>
      <x:c r="C184" s="1" t="n">
        <x:v>1000</x:v>
      </x:c>
      <x:c r="D184" s="1" t="n">
        <x:v>963</x:v>
      </x:c>
      <x:c r="E184" s="7" t="n">
        <x:v>9.394596358668231e+69</x:v>
      </x:c>
      <x:c r="F184" s="7" t="n">
        <x:v>1.8617830906680928e+70</x:v>
      </x:c>
      <x:c r="G184" s="7" t="n">
        <x:v>2.267388019184738e+70</x:v>
      </x:c>
      <x:c r="H184" s="9" t="n">
        <x:f>IF(F184=0,"No spend",E184/F184)</x:f>
        <x:v>0.5046020884901807</x:v>
      </x:c>
    </x:row>
    <x:row r="185" ht="21" customHeight="1">
      <x:c r="A185" s="1" t="str">
        <x:v>Core</x:v>
      </x:c>
      <x:c r="B185" s="1" t="n">
        <x:v>90</x:v>
      </x:c>
      <x:c r="C185" s="1" t="n">
        <x:v>1000</x:v>
      </x:c>
      <x:c r="D185" s="1" t="n">
        <x:v>963</x:v>
      </x:c>
      <x:c r="E185" s="7" t="n">
        <x:v>9.116008657752399e+69</x:v>
      </x:c>
      <x:c r="F185" s="7" t="n">
        <x:v>0</x:v>
      </x:c>
      <x:c r="G185" s="7" t="n">
        <x:v>3.178988884959891e+70</x:v>
      </x:c>
      <x:c r="H185" s="9" t="str">
        <x:f>IF(F185=0,"No spend",E185/F185)</x:f>
        <x:v>No spend</x:v>
      </x:c>
    </x:row>
    <x:row r="186" ht="21" customHeight="1">
      <x:c r="A186" s="1" t="str">
        <x:v>Grinder</x:v>
      </x:c>
      <x:c r="B186" s="1" t="n">
        <x:v>1</x:v>
      </x:c>
      <x:c r="C186" s="1" t="n">
        <x:v>1000</x:v>
      </x:c>
      <x:c r="D186" s="1" t="n">
        <x:v>943</x:v>
      </x:c>
      <x:c r="E186" s="7" t="n">
        <x:v>6.30478178528528e+69</x:v>
      </x:c>
      <x:c r="F186" s="7" t="n">
        <x:v>5.538046547363561e+69</x:v>
      </x:c>
      <x:c r="G186" s="7" t="n">
        <x:v>7.667352379217177e+68</x:v>
      </x:c>
      <x:c r="H186" s="9" t="n">
        <x:f>IF(F186=0,"No spend",E186/F186)</x:f>
        <x:v>1.138448680661005</x:v>
      </x:c>
    </x:row>
    <x:row r="187" ht="21" customHeight="1">
      <x:c r="A187" s="1" t="str">
        <x:v>Grinder</x:v>
      </x:c>
      <x:c r="B187" s="1" t="n">
        <x:v>2</x:v>
      </x:c>
      <x:c r="C187" s="1" t="n">
        <x:v>1000</x:v>
      </x:c>
      <x:c r="D187" s="1" t="n">
        <x:v>950</x:v>
      </x:c>
      <x:c r="E187" s="7" t="n">
        <x:v>1.8139154748531112e+70</x:v>
      </x:c>
      <x:c r="F187" s="7" t="n">
        <x:v>1.5018391768241472e+70</x:v>
      </x:c>
      <x:c r="G187" s="7" t="n">
        <x:v>3.887498218211346e+69</x:v>
      </x:c>
      <x:c r="H187" s="9" t="n">
        <x:f>IF(F187=0,"No spend",E187/F187)</x:f>
        <x:v>1.2077960828594803</x:v>
      </x:c>
    </x:row>
    <x:row r="188" ht="21" customHeight="1">
      <x:c r="A188" s="1" t="str">
        <x:v>Grinder</x:v>
      </x:c>
      <x:c r="B188" s="1" t="n">
        <x:v>3</x:v>
      </x:c>
      <x:c r="C188" s="1" t="n">
        <x:v>1000</x:v>
      </x:c>
      <x:c r="D188" s="1" t="n">
        <x:v>954</x:v>
      </x:c>
      <x:c r="E188" s="7" t="n">
        <x:v>1.841774244944701e+70</x:v>
      </x:c>
      <x:c r="F188" s="7" t="n">
        <x:v>1.745824881229538e+70</x:v>
      </x:c>
      <x:c r="G188" s="7" t="n">
        <x:v>4.846991855363069e+69</x:v>
      </x:c>
      <x:c r="H188" s="9" t="n">
        <x:f>IF(F188=0,"No spend",E188/F188)</x:f>
        <x:v>1.0549593288231682</x:v>
      </x:c>
    </x:row>
    <x:row r="189" ht="21" customHeight="1">
      <x:c r="A189" s="1" t="str">
        <x:v>Grinder</x:v>
      </x:c>
      <x:c r="B189" s="1" t="n">
        <x:v>4</x:v>
      </x:c>
      <x:c r="C189" s="1" t="n">
        <x:v>1000</x:v>
      </x:c>
      <x:c r="D189" s="1" t="n">
        <x:v>956</x:v>
      </x:c>
      <x:c r="E189" s="7" t="n">
        <x:v>1.8557036299905082e+70</x:v>
      </x:c>
      <x:c r="F189" s="7" t="n">
        <x:v>1.5339223216556882e+70</x:v>
      </x:c>
      <x:c r="G189" s="7" t="n">
        <x:v>8.064804938711272e+69</x:v>
      </x:c>
      <x:c r="H189" s="9" t="n">
        <x:f>IF(F189=0,"No spend",E189/F189)</x:f>
        <x:v>1.209776794947149</x:v>
      </x:c>
    </x:row>
    <x:row r="190" ht="21" customHeight="1">
      <x:c r="A190" s="1" t="str">
        <x:v>Grinder</x:v>
      </x:c>
      <x:c r="B190" s="1" t="n">
        <x:v>5</x:v>
      </x:c>
      <x:c r="C190" s="1" t="n">
        <x:v>1000</x:v>
      </x:c>
      <x:c r="D190" s="1" t="n">
        <x:v>958</x:v>
      </x:c>
      <x:c r="E190" s="7" t="n">
        <x:v>1.8510605016419355e+70</x:v>
      </x:c>
      <x:c r="F190" s="7" t="n">
        <x:v>2.137984166921909e+70</x:v>
      </x:c>
      <x:c r="G190" s="7" t="n">
        <x:v>5.195568285911039e+69</x:v>
      </x:c>
      <x:c r="H190" s="9" t="n">
        <x:f>IF(F190=0,"No spend",E190/F190)</x:f>
        <x:v>0.8657971047123972</x:v>
      </x:c>
    </x:row>
    <x:row r="191" ht="21" customHeight="1">
      <x:c r="A191" s="1" t="str">
        <x:v>Grinder</x:v>
      </x:c>
      <x:c r="B191" s="1" t="n">
        <x:v>6</x:v>
      </x:c>
      <x:c r="C191" s="1" t="n">
        <x:v>1000</x:v>
      </x:c>
      <x:c r="D191" s="1" t="n">
        <x:v>958</x:v>
      </x:c>
      <x:c r="E191" s="7" t="n">
        <x:v>1.8464173732933346e+70</x:v>
      </x:c>
      <x:c r="F191" s="7" t="n">
        <x:v>2.281841503010036e+70</x:v>
      </x:c>
      <x:c r="G191" s="7" t="n">
        <x:v>8.41326988743736e+68</x:v>
      </x:c>
      <x:c r="H191" s="9" t="n">
        <x:f>IF(F191=0,"No spend",E191/F191)</x:f>
        <x:v>0.8091786264986757</x:v>
      </x:c>
    </x:row>
    <x:row r="192" ht="21" customHeight="1">
      <x:c r="A192" s="1" t="str">
        <x:v>Grinder</x:v>
      </x:c>
      <x:c r="B192" s="1" t="n">
        <x:v>7</x:v>
      </x:c>
      <x:c r="C192" s="1" t="n">
        <x:v>1000</x:v>
      </x:c>
      <x:c r="D192" s="1" t="n">
        <x:v>958</x:v>
      </x:c>
      <x:c r="E192" s="7" t="n">
        <x:v>1.8417742449446357e+70</x:v>
      </x:c>
      <x:c r="F192" s="7" t="n">
        <x:v>1.7866721239062668e+70</x:v>
      </x:c>
      <x:c r="G192" s="7" t="n">
        <x:v>1.3923481991281542e+69</x:v>
      </x:c>
      <x:c r="H192" s="9" t="n">
        <x:f>IF(F192=0,"No spend",E192/F192)</x:f>
        <x:v>1.0308406451867045</x:v>
      </x:c>
    </x:row>
    <x:row r="193" ht="21" customHeight="1">
      <x:c r="A193" s="1" t="str">
        <x:v>Grinder</x:v>
      </x:c>
      <x:c r="B193" s="1" t="n">
        <x:v>8</x:v>
      </x:c>
      <x:c r="C193" s="1" t="n">
        <x:v>1000</x:v>
      </x:c>
      <x:c r="D193" s="1" t="n">
        <x:v>958</x:v>
      </x:c>
      <x:c r="E193" s="7" t="n">
        <x:v>1.837131116595852e+70</x:v>
      </x:c>
      <x:c r="F193" s="7" t="n">
        <x:v>1.7901464606138028e+70</x:v>
      </x:c>
      <x:c r="G193" s="7" t="n">
        <x:v>1.862194758951286e+69</x:v>
      </x:c>
      <x:c r="H193" s="9" t="n">
        <x:f>IF(F193=0,"No spend",E193/F193)</x:f>
        <x:v>1.026246263652606</x:v>
      </x:c>
    </x:row>
    <x:row r="194" ht="21" customHeight="1">
      <x:c r="A194" s="1" t="str">
        <x:v>Grinder</x:v>
      </x:c>
      <x:c r="B194" s="1" t="n">
        <x:v>9</x:v>
      </x:c>
      <x:c r="C194" s="1" t="n">
        <x:v>1000</x:v>
      </x:c>
      <x:c r="D194" s="1" t="n">
        <x:v>958</x:v>
      </x:c>
      <x:c r="E194" s="7" t="n">
        <x:v>1.8464173732930514e+70</x:v>
      </x:c>
      <x:c r="F194" s="7" t="n">
        <x:v>1.6122878172269945e+70</x:v>
      </x:c>
      <x:c r="G194" s="7" t="n">
        <x:v>4.203490319614422e+69</x:v>
      </x:c>
      <x:c r="H194" s="9" t="n">
        <x:f>IF(F194=0,"No spend",E194/F194)</x:f>
        <x:v>1.1452157323056258</x:v>
      </x:c>
    </x:row>
    <x:row r="195" ht="21" customHeight="1">
      <x:c r="A195" s="1" t="str">
        <x:v>Grinder</x:v>
      </x:c>
      <x:c r="B195" s="1" t="n">
        <x:v>10</x:v>
      </x:c>
      <x:c r="C195" s="1" t="n">
        <x:v>1000</x:v>
      </x:c>
      <x:c r="D195" s="1" t="n">
        <x:v>958</x:v>
      </x:c>
      <x:c r="E195" s="7" t="n">
        <x:v>1.8557036299902508e+70</x:v>
      </x:c>
      <x:c r="F195" s="7" t="n">
        <x:v>1.7601459998103085e+70</x:v>
      </x:c>
      <x:c r="G195" s="7" t="n">
        <x:v>5.159066621416435e+69</x:v>
      </x:c>
      <x:c r="H195" s="9" t="n">
        <x:f>IF(F195=0,"No spend",E195/F195)</x:f>
        <x:v>1.054289604493173</x:v>
      </x:c>
    </x:row>
    <x:row r="196" ht="21" customHeight="1">
      <x:c r="A196" s="1" t="str">
        <x:v>Grinder</x:v>
      </x:c>
      <x:c r="B196" s="1" t="n">
        <x:v>11</x:v>
      </x:c>
      <x:c r="C196" s="1" t="n">
        <x:v>1000</x:v>
      </x:c>
      <x:c r="D196" s="1" t="n">
        <x:v>958</x:v>
      </x:c>
      <x:c r="E196" s="7" t="n">
        <x:v>1.8464173732930514e+70</x:v>
      </x:c>
      <x:c r="F196" s="7" t="n">
        <x:v>1.846218992172855e+70</x:v>
      </x:c>
      <x:c r="G196" s="7" t="n">
        <x:v>5.161050432620985e+69</x:v>
      </x:c>
      <x:c r="H196" s="9" t="n">
        <x:f>IF(F196=0,"No spend",E196/F196)</x:f>
        <x:v>1.0001074526483789</x:v>
      </x:c>
    </x:row>
    <x:row r="197" ht="21" customHeight="1">
      <x:c r="A197" s="1" t="str">
        <x:v>Grinder</x:v>
      </x:c>
      <x:c r="B197" s="1" t="n">
        <x:v>12</x:v>
      </x:c>
      <x:c r="C197" s="1" t="n">
        <x:v>1000</x:v>
      </x:c>
      <x:c r="D197" s="1" t="n">
        <x:v>958</x:v>
      </x:c>
      <x:c r="E197" s="7" t="n">
        <x:v>1.8324879882472524e+70</x:v>
      </x:c>
      <x:c r="F197" s="7" t="n">
        <x:v>1.832485851664123e+70</x:v>
      </x:c>
      <x:c r="G197" s="7" t="n">
        <x:v>5.161071798454842e+69</x:v>
      </x:c>
      <x:c r="H197" s="9" t="n">
        <x:f>IF(F197=0,"No spend",E197/F197)</x:f>
        <x:v>1.000001165947954</x:v>
      </x:c>
    </x:row>
    <x:row r="198" ht="21" customHeight="1">
      <x:c r="A198" s="1" t="str">
        <x:v>Grinder</x:v>
      </x:c>
      <x:c r="B198" s="1" t="n">
        <x:v>13</x:v>
      </x:c>
      <x:c r="C198" s="1" t="n">
        <x:v>1000</x:v>
      </x:c>
      <x:c r="D198" s="1" t="n">
        <x:v>958</x:v>
      </x:c>
      <x:c r="E198" s="7" t="n">
        <x:v>1.851060501641808e+70</x:v>
      </x:c>
      <x:c r="F198" s="7" t="n">
        <x:v>1.668423892706272e+70</x:v>
      </x:c>
      <x:c r="G198" s="7" t="n">
        <x:v>6.987437887811207e+69</x:v>
      </x:c>
      <x:c r="H198" s="9" t="n">
        <x:f>IF(F198=0,"No spend",E198/F198)</x:f>
        <x:v>1.1094665508771213</x:v>
      </x:c>
    </x:row>
    <x:row r="199" ht="21" customHeight="1">
      <x:c r="A199" s="1" t="str">
        <x:v>Grinder</x:v>
      </x:c>
      <x:c r="B199" s="1" t="n">
        <x:v>14</x:v>
      </x:c>
      <x:c r="C199" s="1" t="n">
        <x:v>1000</x:v>
      </x:c>
      <x:c r="D199" s="1" t="n">
        <x:v>958</x:v>
      </x:c>
      <x:c r="E199" s="7" t="n">
        <x:v>1.8464173732934658e+70</x:v>
      </x:c>
      <x:c r="F199" s="7" t="n">
        <x:v>1.856468032428663e+70</x:v>
      </x:c>
      <x:c r="G199" s="7" t="n">
        <x:v>6.88693129645767e+69</x:v>
      </x:c>
      <x:c r="H199" s="9" t="n">
        <x:f>IF(F199=0,"No spend",E199/F199)</x:f>
        <x:v>0.9945861394003921</x:v>
      </x:c>
    </x:row>
    <x:row r="200" ht="21" customHeight="1">
      <x:c r="A200" s="1" t="str">
        <x:v>Grinder</x:v>
      </x:c>
      <x:c r="B200" s="1" t="n">
        <x:v>15</x:v>
      </x:c>
      <x:c r="C200" s="1" t="n">
        <x:v>1000</x:v>
      </x:c>
      <x:c r="D200" s="1" t="n">
        <x:v>958</x:v>
      </x:c>
      <x:c r="E200" s="7" t="n">
        <x:v>1.8464173732934658e+70</x:v>
      </x:c>
      <x:c r="F200" s="7" t="n">
        <x:v>1.60639799823619e+70</x:v>
      </x:c>
      <x:c r="G200" s="7" t="n">
        <x:v>9.287125047028822e+69</x:v>
      </x:c>
      <x:c r="H200" s="9" t="n">
        <x:f>IF(F200=0,"No spend",E200/F200)</x:f>
        <x:v>1.149414637792636</x:v>
      </x:c>
    </x:row>
    <x:row r="201" ht="21" customHeight="1">
      <x:c r="A201" s="1" t="str">
        <x:v>Grinder</x:v>
      </x:c>
      <x:c r="B201" s="1" t="n">
        <x:v>16</x:v>
      </x:c>
      <x:c r="C201" s="1" t="n">
        <x:v>1000</x:v>
      </x:c>
      <x:c r="D201" s="1" t="n">
        <x:v>958</x:v>
      </x:c>
      <x:c r="E201" s="7" t="n">
        <x:v>1.851060501642063e+70</x:v>
      </x:c>
      <x:c r="F201" s="7" t="n">
        <x:v>1.6805403477310453e+70</x:v>
      </x:c>
      <x:c r="G201" s="7" t="n">
        <x:v>1.0992326586137427e+70</x:v>
      </x:c>
      <x:c r="H201" s="9" t="n">
        <x:f>IF(F201=0,"No spend",E201/F201)</x:f>
        <x:v>1.1014674560722346</x:v>
      </x:c>
    </x:row>
    <x:row r="202" ht="21" customHeight="1">
      <x:c r="A202" s="1" t="str">
        <x:v>Grinder</x:v>
      </x:c>
      <x:c r="B202" s="1" t="n">
        <x:v>17</x:v>
      </x:c>
      <x:c r="C202" s="1" t="n">
        <x:v>1000</x:v>
      </x:c>
      <x:c r="D202" s="1" t="n">
        <x:v>958</x:v>
      </x:c>
      <x:c r="E202" s="7" t="n">
        <x:v>1.8324879882476742e+70</x:v>
      </x:c>
      <x:c r="F202" s="7" t="n">
        <x:v>1.92767759788343e+70</x:v>
      </x:c>
      <x:c r="G202" s="7" t="n">
        <x:v>1.004043048977819e+70</x:v>
      </x:c>
      <x:c r="H202" s="9" t="n">
        <x:f>IF(F202=0,"No spend",E202/F202)</x:f>
        <x:v>0.9506195383811729</x:v>
      </x:c>
    </x:row>
    <x:row r="203" ht="21" customHeight="1">
      <x:c r="A203" s="1" t="str">
        <x:v>Grinder</x:v>
      </x:c>
      <x:c r="B203" s="1" t="n">
        <x:v>18</x:v>
      </x:c>
      <x:c r="C203" s="1" t="n">
        <x:v>1000</x:v>
      </x:c>
      <x:c r="D203" s="1" t="n">
        <x:v>958</x:v>
      </x:c>
      <x:c r="E203" s="7" t="n">
        <x:v>1.8464173732934658e+70</x:v>
      </x:c>
      <x:c r="F203" s="7" t="n">
        <x:v>2.0166484172772573e+70</x:v>
      </x:c>
      <x:c r="G203" s="7" t="n">
        <x:v>8.338120049938691e+69</x:v>
      </x:c>
      <x:c r="H203" s="9" t="n">
        <x:f>IF(F203=0,"No spend",E203/F203)</x:f>
        <x:v>0.9155871481982834</x:v>
      </x:c>
    </x:row>
    <x:row r="204" ht="21" customHeight="1">
      <x:c r="A204" s="1" t="str">
        <x:v>Grinder</x:v>
      </x:c>
      <x:c r="B204" s="1" t="n">
        <x:v>19</x:v>
      </x:c>
      <x:c r="C204" s="1" t="n">
        <x:v>1000</x:v>
      </x:c>
      <x:c r="D204" s="1" t="n">
        <x:v>958</x:v>
      </x:c>
      <x:c r="E204" s="7" t="n">
        <x:v>1.8557036299906602e+70</x:v>
      </x:c>
      <x:c r="F204" s="7" t="n">
        <x:v>1.5252144581560957e+70</x:v>
      </x:c>
      <x:c r="G204" s="7" t="n">
        <x:v>1.1643011768282816e+70</x:v>
      </x:c>
      <x:c r="H204" s="9" t="n">
        <x:f>IF(F204=0,"No spend",E204/F204)</x:f>
        <x:v>1.2166837391733807</x:v>
      </x:c>
    </x:row>
    <x:row r="205" ht="21" customHeight="1">
      <x:c r="A205" s="1" t="str">
        <x:v>Grinder</x:v>
      </x:c>
      <x:c r="B205" s="1" t="n">
        <x:v>20</x:v>
      </x:c>
      <x:c r="C205" s="1" t="n">
        <x:v>1000</x:v>
      </x:c>
      <x:c r="D205" s="1" t="n">
        <x:v>958</x:v>
      </x:c>
      <x:c r="E205" s="7" t="n">
        <x:v>1.8464173732934658e+70</x:v>
      </x:c>
      <x:c r="F205" s="7" t="n">
        <x:v>2.1329788923946387e+70</x:v>
      </x:c>
      <x:c r="G205" s="7" t="n">
        <x:v>8.777396577269531e+69</x:v>
      </x:c>
      <x:c r="H205" s="9" t="n">
        <x:f>IF(F205=0,"No spend",E205/F205)</x:f>
        <x:v>0.8656519667761654</x:v>
      </x:c>
    </x:row>
    <x:row r="206" ht="21" customHeight="1">
      <x:c r="A206" s="1" t="str">
        <x:v>Grinder</x:v>
      </x:c>
      <x:c r="B206" s="1" t="n">
        <x:v>21</x:v>
      </x:c>
      <x:c r="C206" s="1" t="n">
        <x:v>1000</x:v>
      </x:c>
      <x:c r="D206" s="1" t="n">
        <x:v>958</x:v>
      </x:c>
      <x:c r="E206" s="7" t="n">
        <x:v>1.8371311165962714e+70</x:v>
      </x:c>
      <x:c r="F206" s="7" t="n">
        <x:v>1.629386434128411e+70</x:v>
      </x:c>
      <x:c r="G206" s="7" t="n">
        <x:v>1.0854843401946489e+70</x:v>
      </x:c>
      <x:c r="H206" s="9" t="n">
        <x:f>IF(F206=0,"No spend",E206/F206)</x:f>
        <x:v>1.1274987186075272</x:v>
      </x:c>
    </x:row>
    <x:row r="207" ht="21" customHeight="1">
      <x:c r="A207" s="1" t="str">
        <x:v>Grinder</x:v>
      </x:c>
      <x:c r="B207" s="1" t="n">
        <x:v>22</x:v>
      </x:c>
      <x:c r="C207" s="1" t="n">
        <x:v>1000</x:v>
      </x:c>
      <x:c r="D207" s="1" t="n">
        <x:v>959</x:v>
      </x:c>
      <x:c r="E207" s="7" t="n">
        <x:v>1.8464173732934658e+70</x:v>
      </x:c>
      <x:c r="F207" s="7" t="n">
        <x:v>2.010487639278599e+70</x:v>
      </x:c>
      <x:c r="G207" s="7" t="n">
        <x:v>9.214140742093623e+69</x:v>
      </x:c>
      <x:c r="H207" s="9" t="n">
        <x:f>IF(F207=0,"No spend",E207/F207)</x:f>
        <x:v>0.9183928004431777</x:v>
      </x:c>
    </x:row>
    <x:row r="208" ht="21" customHeight="1">
      <x:c r="A208" s="1" t="str">
        <x:v>Grinder</x:v>
      </x:c>
      <x:c r="B208" s="1" t="n">
        <x:v>23</x:v>
      </x:c>
      <x:c r="C208" s="1" t="n">
        <x:v>1000</x:v>
      </x:c>
      <x:c r="D208" s="1" t="n">
        <x:v>959</x:v>
      </x:c>
      <x:c r="E208" s="7" t="n">
        <x:v>1.8417742449448686e+70</x:v>
      </x:c>
      <x:c r="F208" s="7" t="n">
        <x:v>9.32406708068518e+69</x:v>
      </x:c>
      <x:c r="G208" s="7" t="n">
        <x:v>1.830781611085555e+70</x:v>
      </x:c>
      <x:c r="H208" s="9" t="n">
        <x:f>IF(F208=0,"No spend",E208/F208)</x:f>
        <x:v>1.9752906419561342</x:v>
      </x:c>
    </x:row>
    <x:row r="209" ht="21" customHeight="1">
      <x:c r="A209" s="1" t="str">
        <x:v>Grinder</x:v>
      </x:c>
      <x:c r="B209" s="1" t="n">
        <x:v>24</x:v>
      </x:c>
      <x:c r="C209" s="1" t="n">
        <x:v>1000</x:v>
      </x:c>
      <x:c r="D209" s="1" t="n">
        <x:v>959</x:v>
      </x:c>
      <x:c r="E209" s="7" t="n">
        <x:v>1.851060501642063e+70</x:v>
      </x:c>
      <x:c r="F209" s="7" t="n">
        <x:v>1.8943083910899826e+70</x:v>
      </x:c>
      <x:c r="G209" s="7" t="n">
        <x:v>1.7875337216374878e+70</x:v>
      </x:c>
      <x:c r="H209" s="9" t="n">
        <x:f>IF(F209=0,"No spend",E209/F209)</x:f>
        <x:v>0.9771695624369616</x:v>
      </x:c>
    </x:row>
    <x:row r="210" ht="21" customHeight="1">
      <x:c r="A210" s="1" t="str">
        <x:v>Grinder</x:v>
      </x:c>
      <x:c r="B210" s="1" t="n">
        <x:v>25</x:v>
      </x:c>
      <x:c r="C210" s="1" t="n">
        <x:v>1000</x:v>
      </x:c>
      <x:c r="D210" s="1" t="n">
        <x:v>959</x:v>
      </x:c>
      <x:c r="E210" s="7" t="n">
        <x:v>1.8557036299906602e+70</x:v>
      </x:c>
      <x:c r="F210" s="7" t="n">
        <x:v>1.9552637209540962e+70</x:v>
      </x:c>
      <x:c r="G210" s="7" t="n">
        <x:v>1.6879736306739048e+70</x:v>
      </x:c>
      <x:c r="H210" s="9" t="n">
        <x:f>IF(F210=0,"No spend",E210/F210)</x:f>
        <x:v>0.9490809910210709</x:v>
      </x:c>
    </x:row>
    <x:row r="211" ht="21" customHeight="1">
      <x:c r="A211" s="1" t="str">
        <x:v>Grinder</x:v>
      </x:c>
      <x:c r="B211" s="1" t="n">
        <x:v>26</x:v>
      </x:c>
      <x:c r="C211" s="1" t="n">
        <x:v>1000</x:v>
      </x:c>
      <x:c r="D211" s="1" t="n">
        <x:v>960</x:v>
      </x:c>
      <x:c r="E211" s="7" t="n">
        <x:v>1.827844859899077e+70</x:v>
      </x:c>
      <x:c r="F211" s="7" t="n">
        <x:v>2.390332427183116e+70</x:v>
      </x:c>
      <x:c r="G211" s="7" t="n">
        <x:v>1.125486063389696e+70</x:v>
      </x:c>
      <x:c r="H211" s="9" t="n">
        <x:f>IF(F211=0,"No spend",E211/F211)</x:f>
        <x:v>0.7646822839838634</x:v>
      </x:c>
    </x:row>
    <x:row r="212" ht="21" customHeight="1">
      <x:c r="A212" s="1" t="str">
        <x:v>Grinder</x:v>
      </x:c>
      <x:c r="B212" s="1" t="n">
        <x:v>27</x:v>
      </x:c>
      <x:c r="C212" s="1" t="n">
        <x:v>1000</x:v>
      </x:c>
      <x:c r="D212" s="1" t="n">
        <x:v>960</x:v>
      </x:c>
      <x:c r="E212" s="7" t="n">
        <x:v>1.8464173732934658e+70</x:v>
      </x:c>
      <x:c r="F212" s="7" t="n">
        <x:v>7.761439930808478e+69</x:v>
      </x:c>
      <x:c r="G212" s="7" t="n">
        <x:v>2.1957594436021577e+70</x:v>
      </x:c>
      <x:c r="H212" s="9" t="n">
        <x:f>IF(F212=0,"No spend",E212/F212)</x:f>
        <x:v>2.3789623958361705</x:v>
      </x:c>
    </x:row>
    <x:row r="213" ht="21" customHeight="1">
      <x:c r="A213" s="1" t="str">
        <x:v>Grinder</x:v>
      </x:c>
      <x:c r="B213" s="1" t="n">
        <x:v>28</x:v>
      </x:c>
      <x:c r="C213" s="1" t="n">
        <x:v>1000</x:v>
      </x:c>
      <x:c r="D213" s="1" t="n">
        <x:v>960</x:v>
      </x:c>
      <x:c r="E213" s="7" t="n">
        <x:v>1.8557036299906602e+70</x:v>
      </x:c>
      <x:c r="F213" s="7" t="n">
        <x:v>2.2536061190800143e+70</x:v>
      </x:c>
      <x:c r="G213" s="7" t="n">
        <x:v>1.7978569545126578e+70</x:v>
      </x:c>
      <x:c r="H213" s="9" t="n">
        <x:f>IF(F213=0,"No spend",E213/F213)</x:f>
        <x:v>0.8234374295842838</x:v>
      </x:c>
    </x:row>
    <x:row r="214" ht="21" customHeight="1">
      <x:c r="A214" s="1" t="str">
        <x:v>Grinder</x:v>
      </x:c>
      <x:c r="B214" s="1" t="n">
        <x:v>29</x:v>
      </x:c>
      <x:c r="C214" s="1" t="n">
        <x:v>1000</x:v>
      </x:c>
      <x:c r="D214" s="1" t="n">
        <x:v>960</x:v>
      </x:c>
      <x:c r="E214" s="7" t="n">
        <x:v>1.8417742449448686e+70</x:v>
      </x:c>
      <x:c r="F214" s="7" t="n">
        <x:v>2.2820150119638707e+70</x:v>
      </x:c>
      <x:c r="G214" s="7" t="n">
        <x:v>1.3576161874935095e+70</x:v>
      </x:c>
      <x:c r="H214" s="9" t="n">
        <x:f>IF(F214=0,"No spend",E214/F214)</x:f>
        <x:v>0.8070824404261315</x:v>
      </x:c>
    </x:row>
    <x:row r="215" ht="21" customHeight="1">
      <x:c r="A215" s="1" t="str">
        <x:v>Grinder</x:v>
      </x:c>
      <x:c r="B215" s="1" t="n">
        <x:v>30</x:v>
      </x:c>
      <x:c r="C215" s="1" t="n">
        <x:v>1000</x:v>
      </x:c>
      <x:c r="D215" s="1" t="n">
        <x:v>961</x:v>
      </x:c>
      <x:c r="E215" s="7" t="n">
        <x:v>1.8464173732934658e+70</x:v>
      </x:c>
      <x:c r="F215" s="7" t="n">
        <x:v>1.5492357554022704e+70</x:v>
      </x:c>
      <x:c r="G215" s="7" t="n">
        <x:v>1.6547978053845544e+70</x:v>
      </x:c>
      <x:c r="H215" s="9" t="n">
        <x:f>IF(F215=0,"No spend",E215/F215)</x:f>
        <x:v>1.1918246573221065</x:v>
      </x:c>
    </x:row>
    <x:row r="216" ht="21" customHeight="1">
      <x:c r="A216" s="1" t="str">
        <x:v>Grinder</x:v>
      </x:c>
      <x:c r="B216" s="1" t="n">
        <x:v>31</x:v>
      </x:c>
      <x:c r="C216" s="1" t="n">
        <x:v>1000</x:v>
      </x:c>
      <x:c r="D216" s="1" t="n">
        <x:v>961</x:v>
      </x:c>
      <x:c r="E216" s="7" t="n">
        <x:v>1.8371311165962714e+70</x:v>
      </x:c>
      <x:c r="F216" s="7" t="n">
        <x:v>1.2027534530912311e+70</x:v>
      </x:c>
      <x:c r="G216" s="7" t="n">
        <x:v>2.2891754688894326e+70</x:v>
      </x:c>
      <x:c r="H216" s="9" t="n">
        <x:f>IF(F216=0,"No spend",E216/F216)</x:f>
        <x:v>1.5274378234995776</x:v>
      </x:c>
    </x:row>
    <x:row r="217" ht="21" customHeight="1">
      <x:c r="A217" s="1" t="str">
        <x:v>Grinder</x:v>
      </x:c>
      <x:c r="B217" s="1" t="n">
        <x:v>32</x:v>
      </x:c>
      <x:c r="C217" s="1" t="n">
        <x:v>1000</x:v>
      </x:c>
      <x:c r="D217" s="1" t="n">
        <x:v>961</x:v>
      </x:c>
      <x:c r="E217" s="7" t="n">
        <x:v>1.8464173732934658e+70</x:v>
      </x:c>
      <x:c r="F217" s="7" t="n">
        <x:v>2.6355705836937252e+70</x:v>
      </x:c>
      <x:c r="G217" s="7" t="n">
        <x:v>1.5000222584890154e+70</x:v>
      </x:c>
      <x:c r="H217" s="9" t="n">
        <x:f>IF(F217=0,"No spend",E217/F217)</x:f>
        <x:v>0.7005759529709619</x:v>
      </x:c>
    </x:row>
    <x:row r="218" ht="21" customHeight="1">
      <x:c r="A218" s="1" t="str">
        <x:v>Grinder</x:v>
      </x:c>
      <x:c r="B218" s="1" t="n">
        <x:v>33</x:v>
      </x:c>
      <x:c r="C218" s="1" t="n">
        <x:v>1000</x:v>
      </x:c>
      <x:c r="D218" s="1" t="n">
        <x:v>961</x:v>
      </x:c>
      <x:c r="E218" s="7" t="n">
        <x:v>1.8557036299906602e+70</x:v>
      </x:c>
      <x:c r="F218" s="7" t="n">
        <x:v>1.361661683277347e+70</x:v>
      </x:c>
      <x:c r="G218" s="7" t="n">
        <x:v>1.994064205202184e+70</x:v>
      </x:c>
      <x:c r="H218" s="9" t="n">
        <x:f>IF(F218=0,"No spend",E218/F218)</x:f>
        <x:v>1.3628228309430115</x:v>
      </x:c>
    </x:row>
    <x:row r="219" ht="21" customHeight="1">
      <x:c r="A219" s="1" t="str">
        <x:v>Grinder</x:v>
      </x:c>
      <x:c r="B219" s="1" t="n">
        <x:v>34</x:v>
      </x:c>
      <x:c r="C219" s="1" t="n">
        <x:v>1000</x:v>
      </x:c>
      <x:c r="D219" s="1" t="n">
        <x:v>961</x:v>
      </x:c>
      <x:c r="E219" s="7" t="n">
        <x:v>1.8464173732934658e+70</x:v>
      </x:c>
      <x:c r="F219" s="7" t="n">
        <x:v>1.3661423998922221e+70</x:v>
      </x:c>
      <x:c r="G219" s="7" t="n">
        <x:v>2.474339178603279e+70</x:v>
      </x:c>
      <x:c r="H219" s="9" t="n">
        <x:f>IF(F219=0,"No spend",E219/F219)</x:f>
        <x:v>1.3515555724199275</x:v>
      </x:c>
    </x:row>
    <x:row r="220" ht="21" customHeight="1">
      <x:c r="A220" s="1" t="str">
        <x:v>Grinder</x:v>
      </x:c>
      <x:c r="B220" s="1" t="n">
        <x:v>35</x:v>
      </x:c>
      <x:c r="C220" s="1" t="n">
        <x:v>1000</x:v>
      </x:c>
      <x:c r="D220" s="1" t="n">
        <x:v>962</x:v>
      </x:c>
      <x:c r="E220" s="7" t="n">
        <x:v>1.8324879882476742e+70</x:v>
      </x:c>
      <x:c r="F220" s="7" t="n">
        <x:v>3.200373805839091e+70</x:v>
      </x:c>
      <x:c r="G220" s="7" t="n">
        <x:v>1.1064533610117048e+70</x:v>
      </x:c>
      <x:c r="H220" s="9" t="n">
        <x:f>IF(F220=0,"No spend",E220/F220)</x:f>
        <x:v>0.5725856101260092</x:v>
      </x:c>
    </x:row>
    <x:row r="221" ht="21" customHeight="1">
      <x:c r="A221" s="1" t="str">
        <x:v>Grinder</x:v>
      </x:c>
      <x:c r="B221" s="1" t="n">
        <x:v>36</x:v>
      </x:c>
      <x:c r="C221" s="1" t="n">
        <x:v>1000</x:v>
      </x:c>
      <x:c r="D221" s="1" t="n">
        <x:v>962</x:v>
      </x:c>
      <x:c r="E221" s="7" t="n">
        <x:v>1.8464173732934658e+70</x:v>
      </x:c>
      <x:c r="F221" s="7" t="n">
        <x:v>1.443304143709485e+70</x:v>
      </x:c>
      <x:c r="G221" s="7" t="n">
        <x:v>1.5095665905955353e+70</x:v>
      </x:c>
      <x:c r="H221" s="9" t="n">
        <x:f>IF(F221=0,"No spend",E221/F221)</x:f>
        <x:v>1.2792988791315498</x:v>
      </x:c>
    </x:row>
    <x:row r="222" ht="21" customHeight="1">
      <x:c r="A222" s="1" t="str">
        <x:v>Grinder</x:v>
      </x:c>
      <x:c r="B222" s="1" t="n">
        <x:v>37</x:v>
      </x:c>
      <x:c r="C222" s="1" t="n">
        <x:v>1000</x:v>
      </x:c>
      <x:c r="D222" s="1" t="n">
        <x:v>962</x:v>
      </x:c>
      <x:c r="E222" s="7" t="n">
        <x:v>1.851060501642063e+70</x:v>
      </x:c>
      <x:c r="F222" s="7" t="n">
        <x:v>1.0866015903131948e+70</x:v>
      </x:c>
      <x:c r="G222" s="7" t="n">
        <x:v>2.2740255019242546e+70</x:v>
      </x:c>
      <x:c r="H222" s="9" t="n">
        <x:f>IF(F222=0,"No spend",E222/F222)</x:f>
        <x:v>1.7035319275655816</x:v>
      </x:c>
    </x:row>
    <x:row r="223" ht="21" customHeight="1">
      <x:c r="A223" s="1" t="str">
        <x:v>Grinder</x:v>
      </x:c>
      <x:c r="B223" s="1" t="n">
        <x:v>38</x:v>
      </x:c>
      <x:c r="C223" s="1" t="n">
        <x:v>1000</x:v>
      </x:c>
      <x:c r="D223" s="1" t="n">
        <x:v>962</x:v>
      </x:c>
      <x:c r="E223" s="7" t="n">
        <x:v>1.8464173732934658e+70</x:v>
      </x:c>
      <x:c r="F223" s="7" t="n">
        <x:v>1.551485908890079e+70</x:v>
      </x:c>
      <x:c r="G223" s="7" t="n">
        <x:v>2.5689569663274904e+70</x:v>
      </x:c>
      <x:c r="H223" s="9" t="n">
        <x:f>IF(F223=0,"No spend",E223/F223)</x:f>
        <x:v>1.1900961283073326</x:v>
      </x:c>
    </x:row>
    <x:row r="224" ht="21" customHeight="1">
      <x:c r="A224" s="1" t="str">
        <x:v>Grinder</x:v>
      </x:c>
      <x:c r="B224" s="1" t="n">
        <x:v>39</x:v>
      </x:c>
      <x:c r="C224" s="1" t="n">
        <x:v>1000</x:v>
      </x:c>
      <x:c r="D224" s="1" t="n">
        <x:v>962</x:v>
      </x:c>
      <x:c r="E224" s="7" t="n">
        <x:v>1.851060501642063e+70</x:v>
      </x:c>
      <x:c r="F224" s="7" t="n">
        <x:v>1.611198791542399e+70</x:v>
      </x:c>
      <x:c r="G224" s="7" t="n">
        <x:v>2.808818676427001e+70</x:v>
      </x:c>
      <x:c r="H224" s="9" t="n">
        <x:f>IF(F224=0,"No spend",E224/F224)</x:f>
        <x:v>1.1488715801915694</x:v>
      </x:c>
    </x:row>
    <x:row r="225" ht="21" customHeight="1">
      <x:c r="A225" s="1" t="str">
        <x:v>Grinder</x:v>
      </x:c>
      <x:c r="B225" s="1" t="n">
        <x:v>40</x:v>
      </x:c>
      <x:c r="C225" s="1" t="n">
        <x:v>1000</x:v>
      </x:c>
      <x:c r="D225" s="1" t="n">
        <x:v>962</x:v>
      </x:c>
      <x:c r="E225" s="7" t="n">
        <x:v>1.8324879882476742e+70</x:v>
      </x:c>
      <x:c r="F225" s="7" t="n">
        <x:v>1.6339940199328144e+70</x:v>
      </x:c>
      <x:c r="G225" s="7" t="n">
        <x:v>3.0073126447416935e+70</x:v>
      </x:c>
      <x:c r="H225" s="9" t="n">
        <x:f>IF(F225=0,"No spend",E225/F225)</x:f>
        <x:v>1.1214777813709633</x:v>
      </x:c>
    </x:row>
    <x:row r="226" ht="21" customHeight="1">
      <x:c r="A226" s="1" t="str">
        <x:v>Grinder</x:v>
      </x:c>
      <x:c r="B226" s="1" t="n">
        <x:v>41</x:v>
      </x:c>
      <x:c r="C226" s="1" t="n">
        <x:v>1000</x:v>
      </x:c>
      <x:c r="D226" s="1" t="n">
        <x:v>962</x:v>
      </x:c>
      <x:c r="E226" s="7" t="n">
        <x:v>1.8417742449448686e+70</x:v>
      </x:c>
      <x:c r="F226" s="7" t="n">
        <x:v>1.6393708798706646e+70</x:v>
      </x:c>
      <x:c r="G226" s="7" t="n">
        <x:v>3.209716009815738e+70</x:v>
      </x:c>
      <x:c r="H226" s="9" t="n">
        <x:f>IF(F226=0,"No spend",E226/F226)</x:f>
        <x:v>1.1234640480439497</x:v>
      </x:c>
    </x:row>
    <x:row r="227" ht="21" customHeight="1">
      <x:c r="A227" s="1" t="str">
        <x:v>Grinder</x:v>
      </x:c>
      <x:c r="B227" s="1" t="n">
        <x:v>42</x:v>
      </x:c>
      <x:c r="C227" s="1" t="n">
        <x:v>1000</x:v>
      </x:c>
      <x:c r="D227" s="1" t="n">
        <x:v>963</x:v>
      </x:c>
      <x:c r="E227" s="7" t="n">
        <x:v>1.8557036299906602e+70</x:v>
      </x:c>
      <x:c r="F227" s="7" t="n">
        <x:v>3.80388660317942e+70</x:v>
      </x:c>
      <x:c r="G227" s="7" t="n">
        <x:v>1.2615330366268321e+70</x:v>
      </x:c>
      <x:c r="H227" s="9" t="n">
        <x:f>IF(F227=0,"No spend",E227/F227)</x:f>
        <x:v>0.48784409830713643</x:v>
      </x:c>
    </x:row>
    <x:row r="228" ht="21" customHeight="1">
      <x:c r="A228" s="1" t="str">
        <x:v>Grinder</x:v>
      </x:c>
      <x:c r="B228" s="1" t="n">
        <x:v>43</x:v>
      </x:c>
      <x:c r="C228" s="1" t="n">
        <x:v>1000</x:v>
      </x:c>
      <x:c r="D228" s="1" t="n">
        <x:v>963</x:v>
      </x:c>
      <x:c r="E228" s="7" t="n">
        <x:v>1.851060501642063e+70</x:v>
      </x:c>
      <x:c r="F228" s="7" t="n">
        <x:v>0</x:v>
      </x:c>
      <x:c r="G228" s="7" t="n">
        <x:v>3.112593538268743e+70</x:v>
      </x:c>
      <x:c r="H228" s="9" t="str">
        <x:f>IF(F228=0,"No spend",E228/F228)</x:f>
        <x:v>No spend</x:v>
      </x:c>
    </x:row>
    <x:row r="229" ht="21" customHeight="1">
      <x:c r="A229" s="1" t="str">
        <x:v>Grinder</x:v>
      </x:c>
      <x:c r="B229" s="1" t="n">
        <x:v>44</x:v>
      </x:c>
      <x:c r="C229" s="1" t="n">
        <x:v>1000</x:v>
      </x:c>
      <x:c r="D229" s="1" t="n">
        <x:v>963</x:v>
      </x:c>
      <x:c r="E229" s="7" t="n">
        <x:v>1.8371311165962714e+70</x:v>
      </x:c>
      <x:c r="F229" s="7" t="n">
        <x:v>1.7319649724513783e+70</x:v>
      </x:c>
      <x:c r="G229" s="7" t="n">
        <x:v>3.2177596824134717e+70</x:v>
      </x:c>
      <x:c r="H229" s="9" t="n">
        <x:f>IF(F229=0,"No spend",E229/F229)</x:f>
        <x:v>1.0607207107635923</x:v>
      </x:c>
    </x:row>
    <x:row r="230" ht="21" customHeight="1">
      <x:c r="A230" s="1" t="str">
        <x:v>Grinder</x:v>
      </x:c>
      <x:c r="B230" s="1" t="n">
        <x:v>45</x:v>
      </x:c>
      <x:c r="C230" s="1" t="n">
        <x:v>1000</x:v>
      </x:c>
      <x:c r="D230" s="1" t="n">
        <x:v>963</x:v>
      </x:c>
      <x:c r="E230" s="7" t="n">
        <x:v>1.8417742449448686e+70</x:v>
      </x:c>
      <x:c r="F230" s="7" t="n">
        <x:v>1.8617830906680928e+70</x:v>
      </x:c>
      <x:c r="G230" s="7" t="n">
        <x:v>3.197750836690087e+70</x:v>
      </x:c>
      <x:c r="H230" s="9" t="n">
        <x:f>IF(F230=0,"No spend",E230/F230)</x:f>
        <x:v>0.9892528588193138</x:v>
      </x:c>
    </x:row>
    <x:row r="231" ht="21" customHeight="1">
      <x:c r="A231" s="1" t="str">
        <x:v>Grinder</x:v>
      </x:c>
      <x:c r="B231" s="1" t="n">
        <x:v>46</x:v>
      </x:c>
      <x:c r="C231" s="1" t="n">
        <x:v>1000</x:v>
      </x:c>
      <x:c r="D231" s="1" t="n">
        <x:v>963</x:v>
      </x:c>
      <x:c r="E231" s="7" t="n">
        <x:v>1.8464173732934658e+70</x:v>
      </x:c>
      <x:c r="F231" s="7" t="n">
        <x:v>1.933438549850879e+70</x:v>
      </x:c>
      <x:c r="G231" s="7" t="n">
        <x:v>3.1107296601325095e+70</x:v>
      </x:c>
      <x:c r="H231" s="9" t="n">
        <x:f>IF(F231=0,"No spend",E231/F231)</x:f>
        <x:v>0.9549914960761878</x:v>
      </x:c>
    </x:row>
    <x:row r="232" ht="21" customHeight="1">
      <x:c r="A232" s="1" t="str">
        <x:v>Grinder</x:v>
      </x:c>
      <x:c r="B232" s="1" t="n">
        <x:v>47</x:v>
      </x:c>
      <x:c r="C232" s="1" t="n">
        <x:v>1000</x:v>
      </x:c>
      <x:c r="D232" s="1" t="n">
        <x:v>964</x:v>
      </x:c>
      <x:c r="E232" s="7" t="n">
        <x:v>1.8464173732934658e+70</x:v>
      </x:c>
      <x:c r="F232" s="7" t="n">
        <x:v>2.5454439216701016e+70</x:v>
      </x:c>
      <x:c r="G232" s="7" t="n">
        <x:v>2.4117031117557187e+70</x:v>
      </x:c>
      <x:c r="H232" s="9" t="n">
        <x:f>IF(F232=0,"No spend",E232/F232)</x:f>
        <x:v>0.7253812812666505</x:v>
      </x:c>
    </x:row>
    <x:row r="233" ht="21" customHeight="1">
      <x:c r="A233" s="1" t="str">
        <x:v>Grinder</x:v>
      </x:c>
      <x:c r="B233" s="1" t="n">
        <x:v>48</x:v>
      </x:c>
      <x:c r="C233" s="1" t="n">
        <x:v>1000</x:v>
      </x:c>
      <x:c r="D233" s="1" t="n">
        <x:v>964</x:v>
      </x:c>
      <x:c r="E233" s="7" t="n">
        <x:v>1.8603467583392574e+70</x:v>
      </x:c>
      <x:c r="F233" s="7" t="n">
        <x:v>1.960792823919385e+70</x:v>
      </x:c>
      <x:c r="G233" s="7" t="n">
        <x:v>2.311257046175442e+70</x:v>
      </x:c>
      <x:c r="H233" s="9" t="n">
        <x:f>IF(F233=0,"No spend",E233/F233)</x:f>
        <x:v>0.9487727288906799</x:v>
      </x:c>
    </x:row>
    <x:row r="234" ht="21" customHeight="1">
      <x:c r="A234" s="1" t="str">
        <x:v>Grinder</x:v>
      </x:c>
      <x:c r="B234" s="1" t="n">
        <x:v>49</x:v>
      </x:c>
      <x:c r="C234" s="1" t="n">
        <x:v>1000</x:v>
      </x:c>
      <x:c r="D234" s="1" t="n">
        <x:v>964</x:v>
      </x:c>
      <x:c r="E234" s="7" t="n">
        <x:v>1.8324879882479488e+70</x:v>
      </x:c>
      <x:c r="F234" s="7" t="n">
        <x:v>1.9672450558447975e+70</x:v>
      </x:c>
      <x:c r="G234" s="7" t="n">
        <x:v>2.1764999785781465e+70</x:v>
      </x:c>
      <x:c r="H234" s="9" t="n">
        <x:f>IF(F234=0,"No spend",E234/F234)</x:f>
        <x:v>0.9314996028601126</x:v>
      </x:c>
    </x:row>
    <x:row r="235" ht="21" customHeight="1">
      <x:c r="A235" s="1" t="str">
        <x:v>Grinder</x:v>
      </x:c>
      <x:c r="B235" s="1" t="n">
        <x:v>50</x:v>
      </x:c>
      <x:c r="C235" s="1" t="n">
        <x:v>1000</x:v>
      </x:c>
      <x:c r="D235" s="1" t="n">
        <x:v>964</x:v>
      </x:c>
      <x:c r="E235" s="7" t="n">
        <x:v>1.8371311165968402e+70</x:v>
      </x:c>
      <x:c r="F235" s="7" t="n">
        <x:v>1.9760768848287622e+70</x:v>
      </x:c>
      <x:c r="G235" s="7" t="n">
        <x:v>2.0375542103454944e+70</x:v>
      </x:c>
      <x:c r="H235" s="9" t="n">
        <x:f>IF(F235=0,"No spend",E235/F235)</x:f>
        <x:v>0.9296860515404681</x:v>
      </x:c>
    </x:row>
    <x:row r="236" ht="21" customHeight="1">
      <x:c r="A236" s="1" t="str">
        <x:v>Grinder</x:v>
      </x:c>
      <x:c r="B236" s="1" t="n">
        <x:v>51</x:v>
      </x:c>
      <x:c r="C236" s="1" t="n">
        <x:v>1000</x:v>
      </x:c>
      <x:c r="D236" s="1" t="n">
        <x:v>964</x:v>
      </x:c>
      <x:c r="E236" s="7" t="n">
        <x:v>1.8557036299913076e+70</x:v>
      </x:c>
      <x:c r="F236" s="7" t="n">
        <x:v>0</x:v>
      </x:c>
      <x:c r="G236" s="7" t="n">
        <x:v>3.893257840335999e+70</x:v>
      </x:c>
      <x:c r="H236" s="9" t="str">
        <x:f>IF(F236=0,"No spend",E236/F236)</x:f>
        <x:v>No spend</x:v>
      </x:c>
    </x:row>
    <x:row r="237" ht="21" customHeight="1">
      <x:c r="A237" s="1" t="str">
        <x:v>Grinder</x:v>
      </x:c>
      <x:c r="B237" s="1" t="n">
        <x:v>52</x:v>
      </x:c>
      <x:c r="C237" s="1" t="n">
        <x:v>1000</x:v>
      </x:c>
      <x:c r="D237" s="1" t="n">
        <x:v>964</x:v>
      </x:c>
      <x:c r="E237" s="7" t="n">
        <x:v>1.846417373294074e+70</x:v>
      </x:c>
      <x:c r="F237" s="7" t="n">
        <x:v>2.078357966941654e+70</x:v>
      </x:c>
      <x:c r="G237" s="7" t="n">
        <x:v>3.661317246687647e+70</x:v>
      </x:c>
      <x:c r="H237" s="9" t="n">
        <x:f>IF(F237=0,"No spend",E237/F237)</x:f>
        <x:v>0.8884019993972043</x:v>
      </x:c>
    </x:row>
    <x:row r="238" ht="21" customHeight="1">
      <x:c r="A238" s="1" t="str">
        <x:v>Grinder</x:v>
      </x:c>
      <x:c r="B238" s="1" t="n">
        <x:v>53</x:v>
      </x:c>
      <x:c r="C238" s="1" t="n">
        <x:v>1000</x:v>
      </x:c>
      <x:c r="D238" s="1" t="n">
        <x:v>964</x:v>
      </x:c>
      <x:c r="E238" s="7" t="n">
        <x:v>1.846417373294074e+70</x:v>
      </x:c>
      <x:c r="F238" s="7" t="n">
        <x:v>1.5212422264384707e+70</x:v>
      </x:c>
      <x:c r="G238" s="7" t="n">
        <x:v>3.986492393542473e+70</x:v>
      </x:c>
      <x:c r="H238" s="9" t="n">
        <x:f>IF(F238=0,"No spend",E238/F238)</x:f>
        <x:v>1.213756324406602</x:v>
      </x:c>
    </x:row>
    <x:row r="239" ht="21" customHeight="1">
      <x:c r="A239" s="1" t="str">
        <x:v>Grinder</x:v>
      </x:c>
      <x:c r="B239" s="1" t="n">
        <x:v>54</x:v>
      </x:c>
      <x:c r="C239" s="1" t="n">
        <x:v>1000</x:v>
      </x:c>
      <x:c r="D239" s="1" t="n">
        <x:v>964</x:v>
      </x:c>
      <x:c r="E239" s="7" t="n">
        <x:v>1.841774244945457e+70</x:v>
      </x:c>
      <x:c r="F239" s="7" t="n">
        <x:v>2.2341397088017074e+70</x:v>
      </x:c>
      <x:c r="G239" s="7" t="n">
        <x:v>3.5941269296854645e+70</x:v>
      </x:c>
      <x:c r="H239" s="9" t="n">
        <x:f>IF(F239=0,"No spend",E239/F239)</x:f>
        <x:v>0.824377382349693</x:v>
      </x:c>
    </x:row>
    <x:row r="240" ht="21" customHeight="1">
      <x:c r="A240" s="1" t="str">
        <x:v>Grinder</x:v>
      </x:c>
      <x:c r="B240" s="1" t="n">
        <x:v>55</x:v>
      </x:c>
      <x:c r="C240" s="1" t="n">
        <x:v>1000</x:v>
      </x:c>
      <x:c r="D240" s="1" t="n">
        <x:v>965</x:v>
      </x:c>
      <x:c r="E240" s="7" t="n">
        <x:v>1.8371311165968402e+70</x:v>
      </x:c>
      <x:c r="F240" s="7" t="n">
        <x:v>3.00362382757071e+70</x:v>
      </x:c>
      <x:c r="G240" s="7" t="n">
        <x:v>2.4276342187108536e+70</x:v>
      </x:c>
      <x:c r="H240" s="9" t="n">
        <x:f>IF(F240=0,"No spend",E240/F240)</x:f>
        <x:v>0.6116382150566061</x:v>
      </x:c>
    </x:row>
    <x:row r="241" ht="21" customHeight="1">
      <x:c r="A241" s="1" t="str">
        <x:v>Grinder</x:v>
      </x:c>
      <x:c r="B241" s="1" t="n">
        <x:v>56</x:v>
      </x:c>
      <x:c r="C241" s="1" t="n">
        <x:v>1000</x:v>
      </x:c>
      <x:c r="D241" s="1" t="n">
        <x:v>965</x:v>
      </x:c>
      <x:c r="E241" s="7" t="n">
        <x:v>1.8510605016426907e+70</x:v>
      </x:c>
      <x:c r="F241" s="7" t="n">
        <x:v>0</x:v>
      </x:c>
      <x:c r="G241" s="7" t="n">
        <x:v>4.278694720352755e+70</x:v>
      </x:c>
      <x:c r="H241" s="9" t="str">
        <x:f>IF(F241=0,"No spend",E241/F241)</x:f>
        <x:v>No spend</x:v>
      </x:c>
    </x:row>
    <x:row r="242" ht="21" customHeight="1">
      <x:c r="A242" s="1" t="str">
        <x:v>Grinder</x:v>
      </x:c>
      <x:c r="B242" s="1" t="n">
        <x:v>57</x:v>
      </x:c>
      <x:c r="C242" s="1" t="n">
        <x:v>1000</x:v>
      </x:c>
      <x:c r="D242" s="1" t="n">
        <x:v>965</x:v>
      </x:c>
      <x:c r="E242" s="7" t="n">
        <x:v>1.8557036299913076e+70</x:v>
      </x:c>
      <x:c r="F242" s="7" t="n">
        <x:v>2.3201262598210507e+70</x:v>
      </x:c>
      <x:c r="G242" s="7" t="n">
        <x:v>3.814272090522198e+70</x:v>
      </x:c>
      <x:c r="H242" s="9" t="n">
        <x:f>IF(F242=0,"No spend",E242/F242)</x:f>
        <x:v>0.7998287257584147</x:v>
      </x:c>
    </x:row>
    <x:row r="243" ht="21" customHeight="1">
      <x:c r="A243" s="1" t="str">
        <x:v>Grinder</x:v>
      </x:c>
      <x:c r="B243" s="1" t="n">
        <x:v>58</x:v>
      </x:c>
      <x:c r="C243" s="1" t="n">
        <x:v>1000</x:v>
      </x:c>
      <x:c r="D243" s="1" t="n">
        <x:v>965</x:v>
      </x:c>
      <x:c r="E243" s="7" t="n">
        <x:v>1.8371311165968402e+70</x:v>
      </x:c>
      <x:c r="F243" s="7" t="n">
        <x:v>2.3529513887032582e+70</x:v>
      </x:c>
      <x:c r="G243" s="7" t="n">
        <x:v>3.2984518184150433e+70</x:v>
      </x:c>
      <x:c r="H243" s="9" t="n">
        <x:f>IF(F243=0,"No spend",E243/F243)</x:f>
        <x:v>0.780777335824735</x:v>
      </x:c>
    </x:row>
    <x:row r="244" ht="21" customHeight="1">
      <x:c r="A244" s="1" t="str">
        <x:v>Grinder</x:v>
      </x:c>
      <x:c r="B244" s="1" t="n">
        <x:v>59</x:v>
      </x:c>
      <x:c r="C244" s="1" t="n">
        <x:v>1000</x:v>
      </x:c>
      <x:c r="D244" s="1" t="n">
        <x:v>965</x:v>
      </x:c>
      <x:c r="E244" s="7" t="n">
        <x:v>1.8371311165968402e+70</x:v>
      </x:c>
      <x:c r="F244" s="7" t="n">
        <x:v>2.3606940670137648e+70</x:v>
      </x:c>
      <x:c r="G244" s="7" t="n">
        <x:v>2.774888867997386e+70</x:v>
      </x:c>
      <x:c r="H244" s="9" t="n">
        <x:f>IF(F244=0,"No spend",E244/F244)</x:f>
        <x:v>0.7782165178738208</x:v>
      </x:c>
    </x:row>
    <x:row r="245" ht="21" customHeight="1">
      <x:c r="A245" s="1" t="str">
        <x:v>Grinder</x:v>
      </x:c>
      <x:c r="B245" s="1" t="n">
        <x:v>60</x:v>
      </x:c>
      <x:c r="C245" s="1" t="n">
        <x:v>1000</x:v>
      </x:c>
      <x:c r="D245" s="1" t="n">
        <x:v>965</x:v>
      </x:c>
      <x:c r="E245" s="7" t="n">
        <x:v>1.8510605016426907e+70</x:v>
      </x:c>
      <x:c r="F245" s="7" t="n">
        <x:v>0</x:v>
      </x:c>
      <x:c r="G245" s="7" t="n">
        <x:v>4.6259493696392825e+70</x:v>
      </x:c>
      <x:c r="H245" s="9" t="str">
        <x:f>IF(F245=0,"No spend",E245/F245)</x:f>
        <x:v>No spend</x:v>
      </x:c>
    </x:row>
    <x:row r="246" ht="21" customHeight="1">
      <x:c r="A246" s="1" t="str">
        <x:v>Grinder</x:v>
      </x:c>
      <x:c r="B246" s="1" t="n">
        <x:v>61</x:v>
      </x:c>
      <x:c r="C246" s="1" t="n">
        <x:v>1000</x:v>
      </x:c>
      <x:c r="D246" s="1" t="n">
        <x:v>965</x:v>
      </x:c>
      <x:c r="E246" s="7" t="n">
        <x:v>1.846417373294074e+70</x:v>
      </x:c>
      <x:c r="F246" s="7" t="n">
        <x:v>2.3712922617945108e+70</x:v>
      </x:c>
      <x:c r="G246" s="7" t="n">
        <x:v>4.101074481138076e+70</x:v>
      </x:c>
      <x:c r="H246" s="9" t="n">
        <x:f>IF(F246=0,"No spend",E246/F246)</x:f>
        <x:v>0.7786544927603188</x:v>
      </x:c>
    </x:row>
    <x:row r="247" ht="21" customHeight="1">
      <x:c r="A247" s="1" t="str">
        <x:v>Grinder</x:v>
      </x:c>
      <x:c r="B247" s="1" t="n">
        <x:v>62</x:v>
      </x:c>
      <x:c r="C247" s="1" t="n">
        <x:v>1000</x:v>
      </x:c>
      <x:c r="D247" s="1" t="n">
        <x:v>965</x:v>
      </x:c>
      <x:c r="E247" s="7" t="n">
        <x:v>1.8557036299913076e+70</x:v>
      </x:c>
      <x:c r="F247" s="7" t="n">
        <x:v>2.4940295603299925e+70</x:v>
      </x:c>
      <x:c r="G247" s="7" t="n">
        <x:v>3.462748550798589e+70</x:v>
      </x:c>
      <x:c r="H247" s="9" t="n">
        <x:f>IF(F247=0,"No spend",E247/F247)</x:f>
        <x:v>0.744058394298171</x:v>
      </x:c>
    </x:row>
    <x:row r="248" ht="21" customHeight="1">
      <x:c r="A248" s="1" t="str">
        <x:v>Grinder</x:v>
      </x:c>
      <x:c r="B248" s="1" t="n">
        <x:v>63</x:v>
      </x:c>
      <x:c r="C248" s="1" t="n">
        <x:v>1000</x:v>
      </x:c>
      <x:c r="D248" s="1" t="n">
        <x:v>965</x:v>
      </x:c>
      <x:c r="E248" s="7" t="n">
        <x:v>1.8371311165968402e+70</x:v>
      </x:c>
      <x:c r="F248" s="7" t="n">
        <x:v>0</x:v>
      </x:c>
      <x:c r="G248" s="7" t="n">
        <x:v>5.299879667394686e+70</x:v>
      </x:c>
      <x:c r="H248" s="9" t="str">
        <x:f>IF(F248=0,"No spend",E248/F248)</x:f>
        <x:v>No spend</x:v>
      </x:c>
    </x:row>
    <x:row r="249" ht="21" customHeight="1">
      <x:c r="A249" s="1" t="str">
        <x:v>Grinder</x:v>
      </x:c>
      <x:c r="B249" s="1" t="n">
        <x:v>64</x:v>
      </x:c>
      <x:c r="C249" s="1" t="n">
        <x:v>1000</x:v>
      </x:c>
      <x:c r="D249" s="1" t="n">
        <x:v>965</x:v>
      </x:c>
      <x:c r="E249" s="7" t="n">
        <x:v>1.8371311165968402e+70</x:v>
      </x:c>
      <x:c r="F249" s="7" t="n">
        <x:v>2.6809676505620568e+70</x:v>
      </x:c>
      <x:c r="G249" s="7" t="n">
        <x:v>4.45604313342873e+70</x:v>
      </x:c>
      <x:c r="H249" s="9" t="n">
        <x:f>IF(F249=0,"No spend",E249/F249)</x:f>
        <x:v>0.6852492667010328</x:v>
      </x:c>
    </x:row>
    <x:row r="250" ht="21" customHeight="1">
      <x:c r="A250" s="1" t="str">
        <x:v>Grinder</x:v>
      </x:c>
      <x:c r="B250" s="1" t="n">
        <x:v>65</x:v>
      </x:c>
      <x:c r="C250" s="1" t="n">
        <x:v>1000</x:v>
      </x:c>
      <x:c r="D250" s="1" t="n">
        <x:v>966</x:v>
      </x:c>
      <x:c r="E250" s="7" t="n">
        <x:v>1.8510605016426907e+70</x:v>
      </x:c>
      <x:c r="F250" s="7" t="n">
        <x:v>3.544276116533447e+70</x:v>
      </x:c>
      <x:c r="G250" s="7" t="n">
        <x:v>2.76282751853719e+70</x:v>
      </x:c>
      <x:c r="H250" s="9" t="n">
        <x:f>IF(F250=0,"No spend",E250/F250)</x:f>
        <x:v>0.5222675775760832</x:v>
      </x:c>
    </x:row>
    <x:row r="251">
      <x:c r="A251" t="str">
        <x:v>Grinder</x:v>
      </x:c>
      <x:c r="B251" t="n">
        <x:v>66</x:v>
      </x:c>
      <x:c r="C251" t="n">
        <x:v>1000</x:v>
      </x:c>
      <x:c r="D251" t="n">
        <x:v>966</x:v>
      </x:c>
      <x:c r="E251" s="8" t="n">
        <x:v>1.8510605016426907e+70</x:v>
      </x:c>
      <x:c r="F251" s="8" t="n">
        <x:v>0</x:v>
      </x:c>
      <x:c r="G251" s="8" t="n">
        <x:v>4.6138880201790866e+70</x:v>
      </x:c>
      <x:c r="H251" s="10" t="str">
        <x:f>IF(F251=0,"No spend",E251/F251)</x:f>
        <x:v>No spend</x:v>
      </x:c>
    </x:row>
    <x:row r="252">
      <x:c r="A252" t="str">
        <x:v>Grinder</x:v>
      </x:c>
      <x:c r="B252" t="n">
        <x:v>67</x:v>
      </x:c>
      <x:c r="C252" t="n">
        <x:v>1000</x:v>
      </x:c>
      <x:c r="D252" t="n">
        <x:v>966</x:v>
      </x:c>
      <x:c r="E252" s="8" t="n">
        <x:v>1.841774244945457e+70</x:v>
      </x:c>
      <x:c r="F252" s="8" t="n">
        <x:v>2.7841515117852766e+70</x:v>
      </x:c>
      <x:c r="G252" s="8" t="n">
        <x:v>3.671510753338516e+70</x:v>
      </x:c>
      <x:c r="H252" s="10" t="n">
        <x:f>IF(F252=0,"No spend",E252/F252)</x:f>
        <x:v>0.6615208393470151</x:v>
      </x:c>
    </x:row>
    <x:row r="253">
      <x:c r="A253" t="str">
        <x:v>Grinder</x:v>
      </x:c>
      <x:c r="B253" t="n">
        <x:v>68</x:v>
      </x:c>
      <x:c r="C253" t="n">
        <x:v>1000</x:v>
      </x:c>
      <x:c r="D253" t="n">
        <x:v>966</x:v>
      </x:c>
      <x:c r="E253" s="8" t="n">
        <x:v>1.841774244945457e+70</x:v>
      </x:c>
      <x:c r="F253" s="8" t="n">
        <x:v>0</x:v>
      </x:c>
      <x:c r="G253" s="8" t="n">
        <x:v>5.513284998283213e+70</x:v>
      </x:c>
      <x:c r="H253" s="10" t="str">
        <x:f>IF(F253=0,"No spend",E253/F253)</x:f>
        <x:v>No spend</x:v>
      </x:c>
    </x:row>
    <x:row r="254">
      <x:c r="A254" t="str">
        <x:v>Grinder</x:v>
      </x:c>
      <x:c r="B254" t="n">
        <x:v>69</x:v>
      </x:c>
      <x:c r="C254" t="n">
        <x:v>1000</x:v>
      </x:c>
      <x:c r="D254" t="n">
        <x:v>966</x:v>
      </x:c>
      <x:c r="E254" s="8" t="n">
        <x:v>1.846417373294074e+70</x:v>
      </x:c>
      <x:c r="F254" s="8" t="n">
        <x:v>2.823541666443918e+70</x:v>
      </x:c>
      <x:c r="G254" s="8" t="n">
        <x:v>4.536160705132603e+70</x:v>
      </x:c>
      <x:c r="H254" s="10" t="n">
        <x:f>IF(F254=0,"No spend",E254/F254)</x:f>
        <x:v>0.6539366481598716</x:v>
      </x:c>
    </x:row>
    <x:row r="255">
      <x:c r="A255" t="str">
        <x:v>Grinder</x:v>
      </x:c>
      <x:c r="B255" t="n">
        <x:v>70</x:v>
      </x:c>
      <x:c r="C255" t="n">
        <x:v>1000</x:v>
      </x:c>
      <x:c r="D255" t="n">
        <x:v>966</x:v>
      </x:c>
      <x:c r="E255" s="8" t="n">
        <x:v>1.846417373294074e+70</x:v>
      </x:c>
      <x:c r="F255" s="8" t="n">
        <x:v>2.832832880416514e+70</x:v>
      </x:c>
      <x:c r="G255" s="8" t="n">
        <x:v>3.549745198009393e+70</x:v>
      </x:c>
      <x:c r="H255" s="10" t="n">
        <x:f>IF(F255=0,"No spend",E255/F255)</x:f>
        <x:v>0.6517918462675404</x:v>
      </x:c>
    </x:row>
    <x:row r="256">
      <x:c r="A256" t="str">
        <x:v>Grinder</x:v>
      </x:c>
      <x:c r="B256" t="n">
        <x:v>71</x:v>
      </x:c>
      <x:c r="C256" t="n">
        <x:v>1000</x:v>
      </x:c>
      <x:c r="D256" t="n">
        <x:v>966</x:v>
      </x:c>
      <x:c r="E256" s="8" t="n">
        <x:v>1.8510605016426907e+70</x:v>
      </x:c>
      <x:c r="F256" s="8" t="n">
        <x:v>0</x:v>
      </x:c>
      <x:c r="G256" s="8" t="n">
        <x:v>5.4008056996512894e+70</x:v>
      </x:c>
      <x:c r="H256" s="10" t="str">
        <x:f>IF(F256=0,"No spend",E256/F256)</x:f>
        <x:v>No spend</x:v>
      </x:c>
    </x:row>
    <x:row r="257">
      <x:c r="A257" t="str">
        <x:v>Grinder</x:v>
      </x:c>
      <x:c r="B257" t="n">
        <x:v>72</x:v>
      </x:c>
      <x:c r="C257" t="n">
        <x:v>1000</x:v>
      </x:c>
      <x:c r="D257" t="n">
        <x:v>966</x:v>
      </x:c>
      <x:c r="E257" s="8" t="n">
        <x:v>1.841774244945457e+70</x:v>
      </x:c>
      <x:c r="F257" s="8" t="n">
        <x:v>2.845550714153409e+70</x:v>
      </x:c>
      <x:c r="G257" s="8" t="n">
        <x:v>4.397029230442581e+70</x:v>
      </x:c>
      <x:c r="H257" s="10" t="n">
        <x:f>IF(F257=0,"No spend",E257/F257)</x:f>
        <x:v>0.6472470287683524</x:v>
      </x:c>
    </x:row>
    <x:row r="258">
      <x:c r="A258" t="str">
        <x:v>Grinder</x:v>
      </x:c>
      <x:c r="B258" t="n">
        <x:v>73</x:v>
      </x:c>
      <x:c r="C258" t="n">
        <x:v>1000</x:v>
      </x:c>
      <x:c r="D258" t="n">
        <x:v>966</x:v>
      </x:c>
      <x:c r="E258" s="8" t="n">
        <x:v>1.8324879882482234e+70</x:v>
      </x:c>
      <x:c r="F258" s="8" t="n">
        <x:v>2.992835472395983e+70</x:v>
      </x:c>
      <x:c r="G258" s="8" t="n">
        <x:v>3.2366817462941034e+70</x:v>
      </x:c>
      <x:c r="H258" s="10" t="n">
        <x:f>IF(F258=0,"No spend",E258/F258)</x:f>
        <x:v>0.612291589414096</x:v>
      </x:c>
    </x:row>
    <x:row r="259">
      <x:c r="A259" t="str">
        <x:v>Grinder</x:v>
      </x:c>
      <x:c r="B259" t="n">
        <x:v>74</x:v>
      </x:c>
      <x:c r="C259" t="n">
        <x:v>1000</x:v>
      </x:c>
      <x:c r="D259" t="n">
        <x:v>966</x:v>
      </x:c>
      <x:c r="E259" s="8" t="n">
        <x:v>1.8603467583399244e+70</x:v>
      </x:c>
      <x:c r="F259" s="8" t="n">
        <x:v>0</x:v>
      </x:c>
      <x:c r="G259" s="8" t="n">
        <x:v>5.097028504633199e+70</x:v>
      </x:c>
      <x:c r="H259" s="10" t="str">
        <x:f>IF(F259=0,"No spend",E259/F259)</x:f>
        <x:v>No spend</x:v>
      </x:c>
    </x:row>
    <x:row r="260">
      <x:c r="A260" t="str">
        <x:v>Grinder</x:v>
      </x:c>
      <x:c r="B260" t="n">
        <x:v>75</x:v>
      </x:c>
      <x:c r="C260" t="n">
        <x:v>1000</x:v>
      </x:c>
      <x:c r="D260" t="n">
        <x:v>966</x:v>
      </x:c>
      <x:c r="E260" s="8" t="n">
        <x:v>1.846417373294074e+70</x:v>
      </x:c>
      <x:c r="F260" s="8" t="n">
        <x:v>2.129739117013863e+70</x:v>
      </x:c>
      <x:c r="G260" s="8" t="n">
        <x:v>4.8137067609126457e+70</x:v>
      </x:c>
      <x:c r="H260" s="10" t="n">
        <x:f>IF(F260=0,"No spend",E260/F260)</x:f>
        <x:v>0.8669688031475713</x:v>
      </x:c>
    </x:row>
    <x:row r="261">
      <x:c r="A261" t="str">
        <x:v>Grinder</x:v>
      </x:c>
      <x:c r="B261" t="n">
        <x:v>76</x:v>
      </x:c>
      <x:c r="C261" t="n">
        <x:v>1000</x:v>
      </x:c>
      <x:c r="D261" t="n">
        <x:v>967</x:v>
      </x:c>
      <x:c r="E261" s="8" t="n">
        <x:v>1.841774244945457e+70</x:v>
      </x:c>
      <x:c r="F261" s="8" t="n">
        <x:v>4.1822458175094555e+70</x:v>
      </x:c>
      <x:c r="G261" s="8" t="n">
        <x:v>2.4732351883479024e+70</x:v>
      </x:c>
      <x:c r="H261" s="10" t="n">
        <x:f>IF(F261=0,"No spend",E261/F261)</x:f>
        <x:v>0.4403792424717496</x:v>
      </x:c>
    </x:row>
    <x:row r="262">
      <x:c r="A262" t="str">
        <x:v>Grinder</x:v>
      </x:c>
      <x:c r="B262" t="n">
        <x:v>77</x:v>
      </x:c>
      <x:c r="C262" t="n">
        <x:v>1000</x:v>
      </x:c>
      <x:c r="D262" t="n">
        <x:v>967</x:v>
      </x:c>
      <x:c r="E262" s="8" t="n">
        <x:v>1.846417373294074e+70</x:v>
      </x:c>
      <x:c r="F262" s="8" t="n">
        <x:v>0</x:v>
      </x:c>
      <x:c r="G262" s="8" t="n">
        <x:v>4.319652561641202e+70</x:v>
      </x:c>
      <x:c r="H262" s="10" t="str">
        <x:f>IF(F262=0,"No spend",E262/F262)</x:f>
        <x:v>No spend</x:v>
      </x:c>
    </x:row>
    <x:row r="263">
      <x:c r="A263" t="str">
        <x:v>Grinder</x:v>
      </x:c>
      <x:c r="B263" t="n">
        <x:v>78</x:v>
      </x:c>
      <x:c r="C263" t="n">
        <x:v>1000</x:v>
      </x:c>
      <x:c r="D263" t="n">
        <x:v>967</x:v>
      </x:c>
      <x:c r="E263" s="8" t="n">
        <x:v>1.8371311165968402e+70</x:v>
      </x:c>
      <x:c r="F263" s="8" t="n">
        <x:v>0</x:v>
      </x:c>
      <x:c r="G263" s="8" t="n">
        <x:v>6.156783678237309e+70</x:v>
      </x:c>
      <x:c r="H263" s="10" t="str">
        <x:f>IF(F263=0,"No spend",E263/F263)</x:f>
        <x:v>No spend</x:v>
      </x:c>
    </x:row>
    <x:row r="264">
      <x:c r="A264" t="str">
        <x:v>Grinder</x:v>
      </x:c>
      <x:c r="B264" t="n">
        <x:v>79</x:v>
      </x:c>
      <x:c r="C264" t="n">
        <x:v>1000</x:v>
      </x:c>
      <x:c r="D264" t="n">
        <x:v>967</x:v>
      </x:c>
      <x:c r="E264" s="8" t="n">
        <x:v>1.8510605016426907e+70</x:v>
      </x:c>
      <x:c r="F264" s="8" t="n">
        <x:v>3.21716118067446e+70</x:v>
      </x:c>
      <x:c r="G264" s="8" t="n">
        <x:v>4.790682999204749e+70</x:v>
      </x:c>
      <x:c r="H264" s="10" t="n">
        <x:f>IF(F264=0,"No spend",E264/F264)</x:f>
        <x:v>0.5753707687268022</x:v>
      </x:c>
    </x:row>
    <x:row r="265">
      <x:c r="A265" t="str">
        <x:v>Grinder</x:v>
      </x:c>
      <x:c r="B265" t="n">
        <x:v>80</x:v>
      </x:c>
      <x:c r="C265" t="n">
        <x:v>1000</x:v>
      </x:c>
      <x:c r="D265" t="n">
        <x:v>967</x:v>
      </x:c>
      <x:c r="E265" s="8" t="n">
        <x:v>1.8557036299913076e+70</x:v>
      </x:c>
      <x:c r="F265" s="8" t="n">
        <x:v>0</x:v>
      </x:c>
      <x:c r="G265" s="8" t="n">
        <x:v>6.646386629195269e+70</x:v>
      </x:c>
      <x:c r="H265" s="10" t="str">
        <x:f>IF(F265=0,"No spend",E265/F265)</x:f>
        <x:v>No spend</x:v>
      </x:c>
    </x:row>
    <x:row r="266">
      <x:c r="A266" t="str">
        <x:v>Grinder</x:v>
      </x:c>
      <x:c r="B266" t="n">
        <x:v>81</x:v>
      </x:c>
      <x:c r="C266" t="n">
        <x:v>1000</x:v>
      </x:c>
      <x:c r="D266" t="n">
        <x:v>967</x:v>
      </x:c>
      <x:c r="E266" s="8" t="n">
        <x:v>1.841774244945457e+70</x:v>
      </x:c>
      <x:c r="F266" s="8" t="n">
        <x:v>3.340981814142316e+70</x:v>
      </x:c>
      <x:c r="G266" s="8" t="n">
        <x:v>5.147179059997644e+70</x:v>
      </x:c>
      <x:c r="H266" s="10" t="n">
        <x:f>IF(F266=0,"No spend",E266/F266)</x:f>
        <x:v>0.5512673661225151</x:v>
      </x:c>
    </x:row>
    <x:row r="267">
      <x:c r="A267" t="str">
        <x:v>Grinder</x:v>
      </x:c>
      <x:c r="B267" t="n">
        <x:v>82</x:v>
      </x:c>
      <x:c r="C267" t="n">
        <x:v>1000</x:v>
      </x:c>
      <x:c r="D267" t="n">
        <x:v>967</x:v>
      </x:c>
      <x:c r="E267" s="8" t="n">
        <x:v>1.8324879882482234e+70</x:v>
      </x:c>
      <x:c r="F267" s="8" t="n">
        <x:v>3.3882499997326934e+70</x:v>
      </x:c>
      <x:c r="G267" s="8" t="n">
        <x:v>3.59141704851248e+70</x:v>
      </x:c>
      <x:c r="H267" s="10" t="n">
        <x:f>IF(F267=0,"No spend",E267/F267)</x:f>
        <x:v>0.5408361214174847</x:v>
      </x:c>
    </x:row>
    <x:row r="268">
      <x:c r="A268" t="str">
        <x:v>Grinder</x:v>
      </x:c>
      <x:c r="B268" t="n">
        <x:v>83</x:v>
      </x:c>
      <x:c r="C268" t="n">
        <x:v>1000</x:v>
      </x:c>
      <x:c r="D268" t="n">
        <x:v>967</x:v>
      </x:c>
      <x:c r="E268" s="8" t="n">
        <x:v>1.8510605016426907e+70</x:v>
      </x:c>
      <x:c r="F268" s="8" t="n">
        <x:v>0</x:v>
      </x:c>
      <x:c r="G268" s="8" t="n">
        <x:v>5.4424775501543764e+70</x:v>
      </x:c>
      <x:c r="H268" s="10" t="str">
        <x:f>IF(F268=0,"No spend",E268/F268)</x:f>
        <x:v>No spend</x:v>
      </x:c>
    </x:row>
    <x:row r="269">
      <x:c r="A269" t="str">
        <x:v>Grinder</x:v>
      </x:c>
      <x:c r="B269" t="n">
        <x:v>84</x:v>
      </x:c>
      <x:c r="C269" t="n">
        <x:v>1000</x:v>
      </x:c>
      <x:c r="D269" t="n">
        <x:v>967</x:v>
      </x:c>
      <x:c r="E269" s="8" t="n">
        <x:v>1.846417373294074e+70</x:v>
      </x:c>
      <x:c r="F269" s="8" t="n">
        <x:v>3.399399456499813e+70</x:v>
      </x:c>
      <x:c r="G269" s="8" t="n">
        <x:v>3.8894954669478897e+70</x:v>
      </x:c>
      <x:c r="H269" s="10" t="n">
        <x:f>IF(F269=0,"No spend",E269/F269)</x:f>
        <x:v>0.5431598718896176</x:v>
      </x:c>
    </x:row>
    <x:row r="270">
      <x:c r="A270" t="str">
        <x:v>Grinder</x:v>
      </x:c>
      <x:c r="B270" t="n">
        <x:v>85</x:v>
      </x:c>
      <x:c r="C270" t="n">
        <x:v>1000</x:v>
      </x:c>
      <x:c r="D270" t="n">
        <x:v>967</x:v>
      </x:c>
      <x:c r="E270" s="8" t="n">
        <x:v>1.8510605016426907e+70</x:v>
      </x:c>
      <x:c r="F270" s="8" t="n">
        <x:v>0</x:v>
      </x:c>
      <x:c r="G270" s="8" t="n">
        <x:v>5.740555968589791e+70</x:v>
      </x:c>
      <x:c r="H270" s="10" t="str">
        <x:f>IF(F270=0,"No spend",E270/F270)</x:f>
        <x:v>No spend</x:v>
      </x:c>
    </x:row>
    <x:row r="271">
      <x:c r="A271" t="str">
        <x:v>Grinder</x:v>
      </x:c>
      <x:c r="B271" t="n">
        <x:v>86</x:v>
      </x:c>
      <x:c r="C271" t="n">
        <x:v>1000</x:v>
      </x:c>
      <x:c r="D271" t="n">
        <x:v>967</x:v>
      </x:c>
      <x:c r="E271" s="8" t="n">
        <x:v>1.846417373294074e+70</x:v>
      </x:c>
      <x:c r="F271" s="8" t="n">
        <x:v>3.414660856984095e+70</x:v>
      </x:c>
      <x:c r="G271" s="8" t="n">
        <x:v>4.172312484899017e+70</x:v>
      </x:c>
      <x:c r="H271" s="10" t="n">
        <x:f>IF(F271=0,"No spend",E271/F271)</x:f>
        <x:v>0.5407322866391104</x:v>
      </x:c>
    </x:row>
    <x:row r="272">
      <x:c r="A272" t="str">
        <x:v>Grinder</x:v>
      </x:c>
      <x:c r="B272" t="n">
        <x:v>87</x:v>
      </x:c>
      <x:c r="C272" t="n">
        <x:v>1000</x:v>
      </x:c>
      <x:c r="D272" t="n">
        <x:v>967</x:v>
      </x:c>
      <x:c r="E272" s="8" t="n">
        <x:v>1.8278448598996066e+70</x:v>
      </x:c>
      <x:c r="F272" s="8" t="n">
        <x:v>0</x:v>
      </x:c>
      <x:c r="G272" s="8" t="n">
        <x:v>6.00015734479792e+70</x:v>
      </x:c>
      <x:c r="H272" s="10" t="str">
        <x:f>IF(F272=0,"No spend",E272/F272)</x:f>
        <x:v>No spend</x:v>
      </x:c>
    </x:row>
    <x:row r="273">
      <x:c r="A273" t="str">
        <x:v>Grinder</x:v>
      </x:c>
      <x:c r="B273" t="n">
        <x:v>88</x:v>
      </x:c>
      <x:c r="C273" t="n">
        <x:v>1000</x:v>
      </x:c>
      <x:c r="D273" t="n">
        <x:v>967</x:v>
      </x:c>
      <x:c r="E273" s="8" t="n">
        <x:v>1.8510605016426907e+70</x:v>
      </x:c>
      <x:c r="F273" s="8" t="n">
        <x:v>3.5914025668751877e+70</x:v>
      </x:c>
      <x:c r="G273" s="8" t="n">
        <x:v>4.259815279564664e+70</x:v>
      </x:c>
      <x:c r="H273" s="10" t="n">
        <x:f>IF(F273=0,"No spend",E273/F273)</x:f>
        <x:v>0.5154143728457776</x:v>
      </x:c>
    </x:row>
    <x:row r="274">
      <x:c r="A274" t="str">
        <x:v>Grinder</x:v>
      </x:c>
      <x:c r="B274" t="n">
        <x:v>89</x:v>
      </x:c>
      <x:c r="C274" t="n">
        <x:v>1000</x:v>
      </x:c>
      <x:c r="D274" t="n">
        <x:v>967</x:v>
      </x:c>
      <x:c r="E274" s="8" t="n">
        <x:v>1.8557036299913076e+70</x:v>
      </x:c>
      <x:c r="F274" s="8" t="n">
        <x:v>0</x:v>
      </x:c>
      <x:c r="G274" s="8" t="n">
        <x:v>6.115518909555175e+70</x:v>
      </x:c>
      <x:c r="H274" s="10" t="str">
        <x:f>IF(F274=0,"No spend",E274/F274)</x:f>
        <x:v>No spend</x:v>
      </x:c>
    </x:row>
    <x:row r="275">
      <x:c r="A275" t="str">
        <x:v>Grinder</x:v>
      </x:c>
      <x:c r="B275" t="n">
        <x:v>90</x:v>
      </x:c>
      <x:c r="C275" t="n">
        <x:v>1000</x:v>
      </x:c>
      <x:c r="D275" t="n">
        <x:v>968</x:v>
      </x:c>
      <x:c r="E275" s="8" t="n">
        <x:v>1.846417373294074e+70</x:v>
      </x:c>
      <x:c r="F275" s="8" t="n">
        <x:v>4.935050064661157e+70</x:v>
      </x:c>
      <x:c r="G275" s="8" t="n">
        <x:v>3.026886218187337e+70</x:v>
      </x:c>
      <x:c r="H275" s="10" t="n">
        <x:f>IF(F275=0,"No spend",E275/F275)</x:f>
        <x:v>0.37414359512092404</x:v>
      </x:c>
    </x:row>
    <x:row r="276">
      <x:c r="A276" t="str">
        <x:v>Spender (no paid power)</x:v>
      </x:c>
      <x:c r="B276" t="n">
        <x:v>1</x:v>
      </x:c>
      <x:c r="C276" t="n">
        <x:v>770</x:v>
      </x:c>
      <x:c r="D276" t="n">
        <x:v>710</x:v>
      </x:c>
      <x:c r="E276" s="8" t="n">
        <x:v>1.508266312578747e+53</x:v>
      </x:c>
      <x:c r="F276" s="8" t="n">
        <x:v>9.211772001722384e+52</x:v>
      </x:c>
      <x:c r="G276" s="8" t="n">
        <x:v>5.870891124065087e+52</x:v>
      </x:c>
      <x:c r="H276" s="10" t="n">
        <x:f>IF(F276=0,"No spend",E276/F276)</x:f>
        <x:v>1.6373248407545657</x:v>
      </x:c>
    </x:row>
    <x:row r="277">
      <x:c r="A277" t="str">
        <x:v>Spender (no paid power)</x:v>
      </x:c>
      <x:c r="B277" t="n">
        <x:v>2</x:v>
      </x:c>
      <x:c r="C277" t="n">
        <x:v>1000</x:v>
      </x:c>
      <x:c r="D277" t="n">
        <x:v>943</x:v>
      </x:c>
      <x:c r="E277" s="8" t="n">
        <x:v>5.985910546746335e+69</x:v>
      </x:c>
      <x:c r="F277" s="8" t="n">
        <x:v>5.538046547363561e+69</x:v>
      </x:c>
      <x:c r="G277" s="8" t="n">
        <x:v>4.478639993827749e+68</x:v>
      </x:c>
      <x:c r="H277" s="10" t="n">
        <x:f>IF(F277=0,"No spend",E277/F277)</x:f>
        <x:v>1.0808703927553631</x:v>
      </x:c>
    </x:row>
    <x:row r="278">
      <x:c r="A278" t="str">
        <x:v>Spender (no paid power)</x:v>
      </x:c>
      <x:c r="B278" t="n">
        <x:v>3</x:v>
      </x:c>
      <x:c r="C278" t="n">
        <x:v>1000</x:v>
      </x:c>
      <x:c r="D278" t="n">
        <x:v>948</x:v>
      </x:c>
      <x:c r="E278" s="8" t="n">
        <x:v>9.34816507518154e+69</x:v>
      </x:c>
      <x:c r="F278" s="8" t="n">
        <x:v>7.910112003150684e+69</x:v>
      </x:c>
      <x:c r="G278" s="8" t="n">
        <x:v>1.8859170714136484e+69</x:v>
      </x:c>
      <x:c r="H278" s="10" t="n">
        <x:f>IF(F278=0,"No spend",E278/F278)</x:f>
        <x:v>1.1817993312178214</x:v>
      </x:c>
    </x:row>
    <x:row r="279">
      <x:c r="A279" t="str">
        <x:v>Spender (no paid power)</x:v>
      </x:c>
      <x:c r="B279" t="n">
        <x:v>4</x:v>
      </x:c>
      <x:c r="C279" t="n">
        <x:v>1000</x:v>
      </x:c>
      <x:c r="D279" t="n">
        <x:v>950</x:v>
      </x:c>
      <x:c r="E279" s="8" t="n">
        <x:v>9.069577374265568e+69</x:v>
      </x:c>
      <x:c r="F279" s="8" t="n">
        <x:v>7.108279765090788e+69</x:v>
      </x:c>
      <x:c r="G279" s="8" t="n">
        <x:v>3.8472146805884095e+69</x:v>
      </x:c>
      <x:c r="H279" s="10" t="n">
        <x:f>IF(F279=0,"No spend",E279/F279)</x:f>
        <x:v>1.275917334993881</x:v>
      </x:c>
    </x:row>
    <x:row r="280">
      <x:c r="A280" t="str">
        <x:v>Spender (no paid power)</x:v>
      </x:c>
      <x:c r="B280" t="n">
        <x:v>5</x:v>
      </x:c>
      <x:c r="C280" t="n">
        <x:v>1000</x:v>
      </x:c>
      <x:c r="D280" t="n">
        <x:v>952</x:v>
      </x:c>
      <x:c r="E280" s="8" t="n">
        <x:v>9.34816507518152e+69</x:v>
      </x:c>
      <x:c r="F280" s="8" t="n">
        <x:v>8.473251597243018e+69</x:v>
      </x:c>
      <x:c r="G280" s="8" t="n">
        <x:v>4.722128158526944e+69</x:v>
      </x:c>
      <x:c r="H280" s="10" t="n">
        <x:f>IF(F280=0,"No spend",E280/F280)</x:f>
        <x:v>1.1032559304887368</x:v>
      </x:c>
    </x:row>
    <x:row r="281">
      <x:c r="A281" t="str">
        <x:v>Spender (no paid power)</x:v>
      </x:c>
      <x:c r="B281" t="n">
        <x:v>6</x:v>
      </x:c>
      <x:c r="C281" t="n">
        <x:v>1000</x:v>
      </x:c>
      <x:c r="D281" t="n">
        <x:v>954</x:v>
      </x:c>
      <x:c r="E281" s="8" t="n">
        <x:v>9.208871224723485e+69</x:v>
      </x:c>
      <x:c r="F281" s="8" t="n">
        <x:v>8.984997215052362e+69</x:v>
      </x:c>
      <x:c r="G281" s="8" t="n">
        <x:v>4.946002168198135e+69</x:v>
      </x:c>
      <x:c r="H281" s="10" t="n">
        <x:f>IF(F281=0,"No spend",E281/F281)</x:f>
        <x:v>1.0249164250486436</x:v>
      </x:c>
    </x:row>
    <x:row r="282">
      <x:c r="A282" t="str">
        <x:v>Spender (no paid power)</x:v>
      </x:c>
      <x:c r="B282" t="n">
        <x:v>7</x:v>
      </x:c>
      <x:c r="C282" t="n">
        <x:v>1000</x:v>
      </x:c>
      <x:c r="D282" t="n">
        <x:v>955</x:v>
      </x:c>
      <x:c r="E282" s="8" t="n">
        <x:v>9.116008657751492e+69</x:v>
      </x:c>
      <x:c r="F282" s="8" t="n">
        <x:v>8.567370948556009e+69</x:v>
      </x:c>
      <x:c r="G282" s="8" t="n">
        <x:v>5.494639877393673e+69</x:v>
      </x:c>
      <x:c r="H282" s="10" t="n">
        <x:f>IF(F282=0,"No spend",E282/F282)</x:f>
        <x:v>1.0640380476682818</x:v>
      </x:c>
    </x:row>
    <x:row r="283">
      <x:c r="A283" t="str">
        <x:v>Spender (no paid power)</x:v>
      </x:c>
      <x:c r="B283" t="n">
        <x:v>8</x:v>
      </x:c>
      <x:c r="C283" t="n">
        <x:v>1000</x:v>
      </x:c>
      <x:c r="D283" t="n">
        <x:v>956</x:v>
      </x:c>
      <x:c r="E283" s="8" t="n">
        <x:v>9.39459635866763e+69</x:v>
      </x:c>
      <x:c r="F283" s="8" t="n">
        <x:v>6.771852268000873e+69</x:v>
      </x:c>
      <x:c r="G283" s="8" t="n">
        <x:v>8.117383968060342e+69</x:v>
      </x:c>
      <x:c r="H283" s="10" t="n">
        <x:f>IF(F283=0,"No spend",E283/F283)</x:f>
        <x:v>1.3873008427930489</x:v>
      </x:c>
    </x:row>
    <x:row r="284">
      <x:c r="A284" t="str">
        <x:v>Spender (no paid power)</x:v>
      </x:c>
      <x:c r="B284" t="n">
        <x:v>9</x:v>
      </x:c>
      <x:c r="C284" t="n">
        <x:v>1000</x:v>
      </x:c>
      <x:c r="D284" t="n">
        <x:v>957</x:v>
      </x:c>
      <x:c r="E284" s="8" t="n">
        <x:v>9.16243994123766e+69</x:v>
      </x:c>
      <x:c r="F284" s="8" t="n">
        <x:v>1.1950704008298188e+70</x:v>
      </x:c>
      <x:c r="G284" s="8" t="n">
        <x:v>5.329119900999508e+69</x:v>
      </x:c>
      <x:c r="H284" s="10" t="n">
        <x:f>IF(F284=0,"No spend",E284/F284)</x:f>
        <x:v>0.7666862081828446</x:v>
      </x:c>
    </x:row>
    <x:row r="285">
      <x:c r="A285" t="str">
        <x:v>Spender (no paid power)</x:v>
      </x:c>
      <x:c r="B285" t="n">
        <x:v>10</x:v>
      </x:c>
      <x:c r="C285" t="n">
        <x:v>1000</x:v>
      </x:c>
      <x:c r="D285" t="n">
        <x:v>958</x:v>
      </x:c>
      <x:c r="E285" s="8" t="n">
        <x:v>9.208871224723669e+69</x:v>
      </x:c>
      <x:c r="F285" s="8" t="n">
        <x:v>9.429137660920902e+69</x:v>
      </x:c>
      <x:c r="G285" s="8" t="n">
        <x:v>5.1088534648020976e+69</x:v>
      </x:c>
      <x:c r="H285" s="10" t="n">
        <x:f>IF(F285=0,"No spend",E285/F285)</x:f>
        <x:v>0.9766398111769936</x:v>
      </x:c>
    </x:row>
    <x:row r="286">
      <x:c r="A286" t="str">
        <x:v>Spender (no paid power)</x:v>
      </x:c>
      <x:c r="B286" t="n">
        <x:v>11</x:v>
      </x:c>
      <x:c r="C286" t="n">
        <x:v>1000</x:v>
      </x:c>
      <x:c r="D286" t="n">
        <x:v>958</x:v>
      </x:c>
      <x:c r="E286" s="8" t="n">
        <x:v>9.255302508209678e+69</x:v>
      </x:c>
      <x:c r="F286" s="8" t="n">
        <x:v>9.170202911612187e+69</x:v>
      </x:c>
      <x:c r="G286" s="8" t="n">
        <x:v>5.1939530613994414e+69</x:v>
      </x:c>
      <x:c r="H286" s="10" t="n">
        <x:f>IF(F286=0,"No spend",E286/F286)</x:f>
        <x:v>1.00928001238552</x:v>
      </x:c>
    </x:row>
    <x:row r="287">
      <x:c r="A287" t="str">
        <x:v>Spender (no paid power)</x:v>
      </x:c>
      <x:c r="B287" t="n">
        <x:v>12</x:v>
      </x:c>
      <x:c r="C287" t="n">
        <x:v>1000</x:v>
      </x:c>
      <x:c r="D287" t="n">
        <x:v>958</x:v>
      </x:c>
      <x:c r="E287" s="8" t="n">
        <x:v>9.208871224723669e+69</x:v>
      </x:c>
      <x:c r="F287" s="8" t="n">
        <x:v>1.3648212118488173e+70</x:v>
      </x:c>
      <x:c r="G287" s="8" t="n">
        <x:v>7.546121676347899e+68</x:v>
      </x:c>
      <x:c r="H287" s="10" t="n">
        <x:f>IF(F287=0,"No spend",E287/F287)</x:f>
        <x:v>0.6747309570496143</x:v>
      </x:c>
    </x:row>
    <x:row r="288">
      <x:c r="A288" t="str">
        <x:v>Spender (no paid power)</x:v>
      </x:c>
      <x:c r="B288" t="n">
        <x:v>13</x:v>
      </x:c>
      <x:c r="C288" t="n">
        <x:v>1000</x:v>
      </x:c>
      <x:c r="D288" t="n">
        <x:v>958</x:v>
      </x:c>
      <x:c r="E288" s="8" t="n">
        <x:v>9.255302508209678e+69</x:v>
      </x:c>
      <x:c r="F288" s="8" t="n">
        <x:v>9.033108016236371e+69</x:v>
      </x:c>
      <x:c r="G288" s="8" t="n">
        <x:v>9.768066596079525e+68</x:v>
      </x:c>
      <x:c r="H288" s="10" t="n">
        <x:f>IF(F288=0,"No spend",E288/F288)</x:f>
        <x:v>1.0245977897722387</x:v>
      </x:c>
    </x:row>
    <x:row r="289">
      <x:c r="A289" t="str">
        <x:v>Spender (no paid power)</x:v>
      </x:c>
      <x:c r="B289" t="n">
        <x:v>14</x:v>
      </x:c>
      <x:c r="C289" t="n">
        <x:v>1000</x:v>
      </x:c>
      <x:c r="D289" t="n">
        <x:v>958</x:v>
      </x:c>
      <x:c r="E289" s="8" t="n">
        <x:v>9.162439941236704e+69</x:v>
      </x:c>
      <x:c r="F289" s="8" t="n">
        <x:v>8.833613222826297e+69</x:v>
      </x:c>
      <x:c r="G289" s="8" t="n">
        <x:v>1.3056333780192079e+69</x:v>
      </x:c>
      <x:c r="H289" s="10" t="n">
        <x:f>IF(F289=0,"No spend",E289/F289)</x:f>
        <x:v>1.0372244867548321</x:v>
      </x:c>
    </x:row>
    <x:row r="290">
      <x:c r="A290" t="str">
        <x:v>Spender (no paid power)</x:v>
      </x:c>
      <x:c r="B290" t="n">
        <x:v>15</x:v>
      </x:c>
      <x:c r="C290" t="n">
        <x:v>1000</x:v>
      </x:c>
      <x:c r="D290" t="n">
        <x:v>958</x:v>
      </x:c>
      <x:c r="E290" s="8" t="n">
        <x:v>9.301733791694252e+69</x:v>
      </x:c>
      <x:c r="F290" s="8" t="n">
        <x:v>8.137029366426383e+69</x:v>
      </x:c>
      <x:c r="G290" s="8" t="n">
        <x:v>2.4703378032884124e+69</x:v>
      </x:c>
      <x:c r="H290" s="10" t="n">
        <x:f>IF(F290=0,"No spend",E290/F290)</x:f>
        <x:v>1.1431363182826244</x:v>
      </x:c>
    </x:row>
    <x:row r="291">
      <x:c r="A291" t="str">
        <x:v>Spender (no paid power)</x:v>
      </x:c>
      <x:c r="B291" t="n">
        <x:v>16</x:v>
      </x:c>
      <x:c r="C291" t="n">
        <x:v>1000</x:v>
      </x:c>
      <x:c r="D291" t="n">
        <x:v>958</x:v>
      </x:c>
      <x:c r="E291" s="8" t="n">
        <x:v>9.162439941236262e+69</x:v>
      </x:c>
      <x:c r="F291" s="8" t="n">
        <x:v>9.764435239711645e+69</x:v>
      </x:c>
      <x:c r="G291" s="8" t="n">
        <x:v>1.8683425048143423e+69</x:v>
      </x:c>
      <x:c r="H291" s="10" t="n">
        <x:f>IF(F291=0,"No spend",E291/F291)</x:f>
        <x:v>0.9383481703040963</x:v>
      </x:c>
    </x:row>
    <x:row r="292">
      <x:c r="A292" t="str">
        <x:v>Spender (no paid power)</x:v>
      </x:c>
      <x:c r="B292" t="n">
        <x:v>17</x:v>
      </x:c>
      <x:c r="C292" t="n">
        <x:v>1000</x:v>
      </x:c>
      <x:c r="D292" t="n">
        <x:v>958</x:v>
      </x:c>
      <x:c r="E292" s="8" t="n">
        <x:v>9.208871224722259e+69</x:v>
      </x:c>
      <x:c r="F292" s="8" t="n">
        <x:v>7.460728653986058e+69</x:v>
      </x:c>
      <x:c r="G292" s="8" t="n">
        <x:v>3.616485075551821e+69</x:v>
      </x:c>
      <x:c r="H292" s="10" t="n">
        <x:f>IF(F292=0,"No spend",E292/F292)</x:f>
        <x:v>1.2343125788125557</x:v>
      </x:c>
    </x:row>
    <x:row r="293">
      <x:c r="A293" t="str">
        <x:v>Spender (no paid power)</x:v>
      </x:c>
      <x:c r="B293" t="n">
        <x:v>18</x:v>
      </x:c>
      <x:c r="C293" t="n">
        <x:v>1000</x:v>
      </x:c>
      <x:c r="D293" t="n">
        <x:v>958</x:v>
      </x:c>
      <x:c r="E293" s="8" t="n">
        <x:v>9.394596358666245e+69</x:v>
      </x:c>
      <x:c r="F293" s="8" t="n">
        <x:v>8.662149518283888e+69</x:v>
      </x:c>
      <x:c r="G293" s="8" t="n">
        <x:v>4.348931915935482e+69</x:v>
      </x:c>
      <x:c r="H293" s="10" t="n">
        <x:f>IF(F293=0,"No spend",E293/F293)</x:f>
        <x:v>1.0845571689609286</x:v>
      </x:c>
    </x:row>
    <x:row r="294">
      <x:c r="A294" t="str">
        <x:v>Spender (no paid power)</x:v>
      </x:c>
      <x:c r="B294" t="n">
        <x:v>19</x:v>
      </x:c>
      <x:c r="C294" t="n">
        <x:v>1000</x:v>
      </x:c>
      <x:c r="D294" t="n">
        <x:v>958</x:v>
      </x:c>
      <x:c r="E294" s="8" t="n">
        <x:v>9.069577374264269e+69</x:v>
      </x:c>
      <x:c r="F294" s="8" t="n">
        <x:v>9.65523086056871e+69</x:v>
      </x:c>
      <x:c r="G294" s="8" t="n">
        <x:v>3.763278429632323e+69</x:v>
      </x:c>
      <x:c r="H294" s="10" t="n">
        <x:f>IF(F294=0,"No spend",E294/F294)</x:f>
        <x:v>0.9393433989552535</x:v>
      </x:c>
    </x:row>
    <x:row r="295">
      <x:c r="A295" t="str">
        <x:v>Spender (no paid power)</x:v>
      </x:c>
      <x:c r="B295" t="n">
        <x:v>20</x:v>
      </x:c>
      <x:c r="C295" t="n">
        <x:v>1000</x:v>
      </x:c>
      <x:c r="D295" t="n">
        <x:v>958</x:v>
      </x:c>
      <x:c r="E295" s="8" t="n">
        <x:v>9.255302508208255e+69</x:v>
      </x:c>
      <x:c r="F295" s="8" t="n">
        <x:v>7.946229137534375e+69</x:v>
      </x:c>
      <x:c r="G295" s="8" t="n">
        <x:v>5.072351800307489e+69</x:v>
      </x:c>
      <x:c r="H295" s="10" t="n">
        <x:f>IF(F295=0,"No spend",E295/F295)</x:f>
        <x:v>1.1647414576167219</x:v>
      </x:c>
    </x:row>
    <x:row r="296">
      <x:c r="A296" t="str">
        <x:v>Spender (no paid power)</x:v>
      </x:c>
      <x:c r="B296" t="n">
        <x:v>21</x:v>
      </x:c>
      <x:c r="C296" t="n">
        <x:v>1000</x:v>
      </x:c>
      <x:c r="D296" t="n">
        <x:v>958</x:v>
      </x:c>
      <x:c r="E296" s="8" t="n">
        <x:v>9.301733791694252e+69</x:v>
      </x:c>
      <x:c r="F296" s="8" t="n">
        <x:v>8.926714956687286e+69</x:v>
      </x:c>
      <x:c r="G296" s="8" t="n">
        <x:v>5.447370635315752e+69</x:v>
      </x:c>
      <x:c r="H296" s="10" t="n">
        <x:f>IF(F296=0,"No spend",E296/F296)</x:f>
        <x:v>1.0420108446193892</x:v>
      </x:c>
    </x:row>
    <x:row r="297">
      <x:c r="A297" t="str">
        <x:v>Spender (no paid power)</x:v>
      </x:c>
      <x:c r="B297" t="n">
        <x:v>22</x:v>
      </x:c>
      <x:c r="C297" t="n">
        <x:v>1000</x:v>
      </x:c>
      <x:c r="D297" t="n">
        <x:v>958</x:v>
      </x:c>
      <x:c r="E297" s="8" t="n">
        <x:v>9.116008657750266e+69</x:v>
      </x:c>
      <x:c r="F297" s="8" t="n">
        <x:v>9.535474965041265e+69</x:v>
      </x:c>
      <x:c r="G297" s="8" t="n">
        <x:v>5.027904328026038e+69</x:v>
      </x:c>
      <x:c r="H297" s="10" t="n">
        <x:f>IF(F297=0,"No spend",E297/F297)</x:f>
        <x:v>0.9560099199223073</x:v>
      </x:c>
    </x:row>
    <x:row r="298">
      <x:c r="A298" t="str">
        <x:v>Spender (no paid power)</x:v>
      </x:c>
      <x:c r="B298" t="n">
        <x:v>23</x:v>
      </x:c>
      <x:c r="C298" t="n">
        <x:v>1000</x:v>
      </x:c>
      <x:c r="D298" t="n">
        <x:v>958</x:v>
      </x:c>
      <x:c r="E298" s="8" t="n">
        <x:v>9.348165075180249e+69</x:v>
      </x:c>
      <x:c r="F298" s="8" t="n">
        <x:v>6.964924508320374e+69</x:v>
      </x:c>
      <x:c r="G298" s="8" t="n">
        <x:v>7.411144894887218e+69</x:v>
      </x:c>
      <x:c r="H298" s="10" t="n">
        <x:f>IF(F298=0,"No spend",E298/F298)</x:f>
        <x:v>1.3421775159246636</x:v>
      </x:c>
    </x:row>
    <x:row r="299">
      <x:c r="A299" t="str">
        <x:v>Spender (no paid power)</x:v>
      </x:c>
      <x:c r="B299" t="n">
        <x:v>24</x:v>
      </x:c>
      <x:c r="C299" t="n">
        <x:v>1000</x:v>
      </x:c>
      <x:c r="D299" t="n">
        <x:v>958</x:v>
      </x:c>
      <x:c r="E299" s="8" t="n">
        <x:v>9.162439941236262e+69</x:v>
      </x:c>
      <x:c r="F299" s="8" t="n">
        <x:v>1.1359934008320858e+70</x:v>
      </x:c>
      <x:c r="G299" s="8" t="n">
        <x:v>5.213650827803896e+69</x:v>
      </x:c>
      <x:c r="H299" s="10" t="n">
        <x:f>IF(F299=0,"No spend",E299/F299)</x:f>
        <x:v>0.8065574971232238</x:v>
      </x:c>
    </x:row>
    <x:row r="300">
      <x:c r="A300" t="str">
        <x:v>Spender (no paid power)</x:v>
      </x:c>
      <x:c r="B300" t="n">
        <x:v>25</x:v>
      </x:c>
      <x:c r="C300" t="n">
        <x:v>1000</x:v>
      </x:c>
      <x:c r="D300" t="n">
        <x:v>958</x:v>
      </x:c>
      <x:c r="E300" s="8" t="n">
        <x:v>9.162439941236262e+69</x:v>
      </x:c>
      <x:c r="F300" s="8" t="n">
        <x:v>7.857766368289032e+69</x:v>
      </x:c>
      <x:c r="G300" s="8" t="n">
        <x:v>6.518324400752418e+69</x:v>
      </x:c>
      <x:c r="H300" s="10" t="n">
        <x:f>IF(F300=0,"No spend",E300/F300)</x:f>
        <x:v>1.1660361878678906</x:v>
      </x:c>
    </x:row>
    <x:row r="301">
      <x:c r="A301" t="str">
        <x:v>Spender (no paid power)</x:v>
      </x:c>
      <x:c r="B301" t="n">
        <x:v>26</x:v>
      </x:c>
      <x:c r="C301" t="n">
        <x:v>1000</x:v>
      </x:c>
      <x:c r="D301" t="n">
        <x:v>958</x:v>
      </x:c>
      <x:c r="E301" s="8" t="n">
        <x:v>9.301733791695674e+69</x:v>
      </x:c>
      <x:c r="F301" s="8" t="n">
        <x:v>8.826472558773689e+69</x:v>
      </x:c>
      <x:c r="G301" s="8" t="n">
        <x:v>6.993585633674263e+69</x:v>
      </x:c>
      <x:c r="H301" s="10" t="n">
        <x:f>IF(F301=0,"No spend",E301/F301)</x:f>
        <x:v>1.0538449793796238</x:v>
      </x:c>
    </x:row>
    <x:row r="302">
      <x:c r="A302" t="str">
        <x:v>Spender (no paid power)</x:v>
      </x:c>
      <x:c r="B302" t="n">
        <x:v>27</x:v>
      </x:c>
      <x:c r="C302" t="n">
        <x:v>1000</x:v>
      </x:c>
      <x:c r="D302" t="n">
        <x:v>958</x:v>
      </x:c>
      <x:c r="E302" s="8" t="n">
        <x:v>9.208871224724343e+69</x:v>
      </x:c>
      <x:c r="F302" s="8" t="n">
        <x:v>9.13536068233982e+69</x:v>
      </x:c>
      <x:c r="G302" s="8" t="n">
        <x:v>7.067096176058015e+69</x:v>
      </x:c>
      <x:c r="H302" s="10" t="n">
        <x:f>IF(F302=0,"No spend",E302/F302)</x:f>
        <x:v>1.0080468133597211</x:v>
      </x:c>
    </x:row>
    <x:row r="303">
      <x:c r="A303" t="str">
        <x:v>Spender (no paid power)</x:v>
      </x:c>
      <x:c r="B303" t="n">
        <x:v>28</x:v>
      </x:c>
      <x:c r="C303" t="n">
        <x:v>1000</x:v>
      </x:c>
      <x:c r="D303" t="n">
        <x:v>958</x:v>
      </x:c>
      <x:c r="E303" s="8" t="n">
        <x:v>9.255302508210315e+69</x:v>
      </x:c>
      <x:c r="F303" s="8" t="n">
        <x:v>9.429319641946809e+69</x:v>
      </x:c>
      <x:c r="G303" s="8" t="n">
        <x:v>6.893079042320722e+69</x:v>
      </x:c>
      <x:c r="H303" s="10" t="n">
        <x:f>IF(F303=0,"No spend",E303/F303)</x:f>
        <x:v>0.9815451018372132</x:v>
      </x:c>
    </x:row>
    <x:row r="304">
      <x:c r="A304" t="str">
        <x:v>Spender (no paid power)</x:v>
      </x:c>
      <x:c r="B304" t="n">
        <x:v>29</x:v>
      </x:c>
      <x:c r="C304" t="n">
        <x:v>1000</x:v>
      </x:c>
      <x:c r="D304" t="n">
        <x:v>958</x:v>
      </x:c>
      <x:c r="E304" s="8" t="n">
        <x:v>9.208871224724343e+69</x:v>
      </x:c>
      <x:c r="F304" s="8" t="n">
        <x:v>1.0591767070528417e+70</x:v>
      </x:c>
      <x:c r="G304" s="8" t="n">
        <x:v>5.510183196515818e+69</x:v>
      </x:c>
      <x:c r="H304" s="10" t="n">
        <x:f>IF(F304=0,"No spend",E304/F304)</x:f>
        <x:v>0.869436720370109</x:v>
      </x:c>
    </x:row>
    <x:row r="305">
      <x:c r="A305" t="str">
        <x:v>Spender (no paid power)</x:v>
      </x:c>
      <x:c r="B305" t="n">
        <x:v>30</x:v>
      </x:c>
      <x:c r="C305" t="n">
        <x:v>1000</x:v>
      </x:c>
      <x:c r="D305" t="n">
        <x:v>958</x:v>
      </x:c>
      <x:c r="E305" s="8" t="n">
        <x:v>9.208871224724343e+69</x:v>
      </x:c>
      <x:c r="F305" s="8" t="n">
        <x:v>5.4722129118334826e+69</x:v>
      </x:c>
      <x:c r="G305" s="8" t="n">
        <x:v>9.246841509405877e+69</x:v>
      </x:c>
      <x:c r="H305" s="10" t="n">
        <x:f>IF(F305=0,"No spend",E305/F305)</x:f>
        <x:v>1.6828422747971772</x:v>
      </x:c>
    </x:row>
    <x:row r="306">
      <x:c r="A306" t="str">
        <x:v>Spender (no paid power)</x:v>
      </x:c>
      <x:c r="B306" t="n">
        <x:v>31</x:v>
      </x:c>
      <x:c r="C306" t="n">
        <x:v>1000</x:v>
      </x:c>
      <x:c r="D306" t="n">
        <x:v>958</x:v>
      </x:c>
      <x:c r="E306" s="8" t="n">
        <x:v>9.255302508210315e+69</x:v>
      </x:c>
      <x:c r="F306" s="8" t="n">
        <x:v>1.1005087827757826e+70</x:v>
      </x:c>
      <x:c r="G306" s="8" t="n">
        <x:v>7.497056189857592e+69</x:v>
      </x:c>
      <x:c r="H306" s="10" t="n">
        <x:f>IF(F306=0,"No spend",E306/F306)</x:f>
        <x:v>0.8410021485576811</x:v>
      </x:c>
    </x:row>
    <x:row r="307">
      <x:c r="A307" t="str">
        <x:v>Spender (no paid power)</x:v>
      </x:c>
      <x:c r="B307" t="n">
        <x:v>32</x:v>
      </x:c>
      <x:c r="C307" t="n">
        <x:v>1000</x:v>
      </x:c>
      <x:c r="D307" t="n">
        <x:v>958</x:v>
      </x:c>
      <x:c r="E307" s="8" t="n">
        <x:v>9.162439941238371e+69</x:v>
      </x:c>
      <x:c r="F307" s="8" t="n">
        <x:v>5.800315649552627e+69</x:v>
      </x:c>
      <x:c r="G307" s="8" t="n">
        <x:v>1.0859180481542484e+70</x:v>
      </x:c>
      <x:c r="H307" s="10" t="n">
        <x:f>IF(F307=0,"No spend",E307/F307)</x:f>
        <x:v>1.5796450563763822</x:v>
      </x:c>
    </x:row>
    <x:row r="308">
      <x:c r="A308" t="str">
        <x:v>Spender (no paid power)</x:v>
      </x:c>
      <x:c r="B308" t="n">
        <x:v>33</x:v>
      </x:c>
      <x:c r="C308" t="n">
        <x:v>1000</x:v>
      </x:c>
      <x:c r="D308" t="n">
        <x:v>958</x:v>
      </x:c>
      <x:c r="E308" s="8" t="n">
        <x:v>9.34816507518226e+69</x:v>
      </x:c>
      <x:c r="F308" s="8" t="n">
        <x:v>1.2710120484634139e+70</x:v>
      </x:c>
      <x:c r="G308" s="8" t="n">
        <x:v>7.497225072089889e+69</x:v>
      </x:c>
      <x:c r="H308" s="10" t="n">
        <x:f>IF(F308=0,"No spend",E308/F308)</x:f>
        <x:v>0.7354898866996339</x:v>
      </x:c>
    </x:row>
    <x:row r="309">
      <x:c r="A309" t="str">
        <x:v>Spender (no paid power)</x:v>
      </x:c>
      <x:c r="B309" t="n">
        <x:v>34</x:v>
      </x:c>
      <x:c r="C309" t="n">
        <x:v>1000</x:v>
      </x:c>
      <x:c r="D309" t="n">
        <x:v>958</x:v>
      </x:c>
      <x:c r="E309" s="8" t="n">
        <x:v>9.162439941238371e+69</x:v>
      </x:c>
      <x:c r="F309" s="8" t="n">
        <x:v>6.5666554942001595e+69</x:v>
      </x:c>
      <x:c r="G309" s="8" t="n">
        <x:v>1.0093009519127245e+70</x:v>
      </x:c>
      <x:c r="H309" s="10" t="n">
        <x:f>IF(F309=0,"No spend",E309/F309)</x:f>
        <x:v>1.3952977964704978</x:v>
      </x:c>
    </x:row>
    <x:row r="310">
      <x:c r="A310" t="str">
        <x:v>Spender (no paid power)</x:v>
      </x:c>
      <x:c r="B310" t="n">
        <x:v>35</x:v>
      </x:c>
      <x:c r="C310" t="n">
        <x:v>1000</x:v>
      </x:c>
      <x:c r="D310" t="n">
        <x:v>958</x:v>
      </x:c>
      <x:c r="E310" s="8" t="n">
        <x:v>9.116008657752399e+69</x:v>
      </x:c>
      <x:c r="F310" s="8" t="n">
        <x:v>6.588263888369115e+69</x:v>
      </x:c>
      <x:c r="G310" s="8" t="n">
        <x:v>1.2620754288509658e+70</x:v>
      </x:c>
      <x:c r="H310" s="10" t="n">
        <x:f>IF(F310=0,"No spend",E310/F310)</x:f>
        <x:v>1.3836738801318735</x:v>
      </x:c>
    </x:row>
    <x:row r="311">
      <x:c r="A311" t="str">
        <x:v>Spender (no paid power)</x:v>
      </x:c>
      <x:c r="B311" t="n">
        <x:v>36</x:v>
      </x:c>
      <x:c r="C311" t="n">
        <x:v>1000</x:v>
      </x:c>
      <x:c r="D311" t="n">
        <x:v>958</x:v>
      </x:c>
      <x:c r="E311" s="8" t="n">
        <x:v>9.394596358668231e+69</x:v>
      </x:c>
      <x:c r="F311" s="8" t="n">
        <x:v>1.3578220284403458e+70</x:v>
      </x:c>
      <x:c r="G311" s="8" t="n">
        <x:v>8.437130362773753e+69</x:v>
      </x:c>
      <x:c r="H311" s="10" t="n">
        <x:f>IF(F311=0,"No spend",E311/F311)</x:f>
        <x:v>0.6918871664984901</x:v>
      </x:c>
    </x:row>
    <x:row r="312">
      <x:c r="A312" t="str">
        <x:v>Spender (no paid power)</x:v>
      </x:c>
      <x:c r="B312" t="n">
        <x:v>37</x:v>
      </x:c>
      <x:c r="C312" t="n">
        <x:v>1000</x:v>
      </x:c>
      <x:c r="D312" t="n">
        <x:v>958</x:v>
      </x:c>
      <x:c r="E312" s="8" t="n">
        <x:v>9.116008657752399e+69</x:v>
      </x:c>
      <x:c r="F312" s="8" t="n">
        <x:v>7.482088680989958e+69</x:v>
      </x:c>
      <x:c r="G312" s="8" t="n">
        <x:v>1.007105033953533e+70</x:v>
      </x:c>
      <x:c r="H312" s="10" t="n">
        <x:f>IF(F312=0,"No spend",E312/F312)</x:f>
        <x:v>1.2183775208270127</x:v>
      </x:c>
    </x:row>
    <x:row r="313">
      <x:c r="A313" t="str">
        <x:v>Spender (no paid power)</x:v>
      </x:c>
      <x:c r="B313" t="n">
        <x:v>38</x:v>
      </x:c>
      <x:c r="C313" t="n">
        <x:v>1000</x:v>
      </x:c>
      <x:c r="D313" t="n">
        <x:v>958</x:v>
      </x:c>
      <x:c r="E313" s="8" t="n">
        <x:v>9.255302508210315e+69</x:v>
      </x:c>
      <x:c r="F313" s="8" t="n">
        <x:v>7.770055900570999e+69</x:v>
      </x:c>
      <x:c r="G313" s="8" t="n">
        <x:v>1.1556296947173873e+70</x:v>
      </x:c>
      <x:c r="H313" s="10" t="n">
        <x:f>IF(F313=0,"No spend",E313/F313)</x:f>
        <x:v>1.1911500543426168</x:v>
      </x:c>
    </x:row>
    <x:row r="314">
      <x:c r="A314" t="str">
        <x:v>Spender (no paid power)</x:v>
      </x:c>
      <x:c r="B314" t="n">
        <x:v>39</x:v>
      </x:c>
      <x:c r="C314" t="n">
        <x:v>1000</x:v>
      </x:c>
      <x:c r="D314" t="n">
        <x:v>958</x:v>
      </x:c>
      <x:c r="E314" s="8" t="n">
        <x:v>9.301733791696287e+69</x:v>
      </x:c>
      <x:c r="F314" s="8" t="n">
        <x:v>7.879986593040211e+69</x:v>
      </x:c>
      <x:c r="G314" s="8" t="n">
        <x:v>1.2978044145829204e+70</x:v>
      </x:c>
      <x:c r="H314" s="10" t="n">
        <x:f>IF(F314=0,"No spend",E314/F314)</x:f>
        <x:v>1.1804250783766304</x:v>
      </x:c>
    </x:row>
    <x:row r="315">
      <x:c r="A315" t="str">
        <x:v>Spender (no paid power)</x:v>
      </x:c>
      <x:c r="B315" t="n">
        <x:v>40</x:v>
      </x:c>
      <x:c r="C315" t="n">
        <x:v>1000</x:v>
      </x:c>
      <x:c r="D315" t="n">
        <x:v>958</x:v>
      </x:c>
      <x:c r="E315" s="8" t="n">
        <x:v>9.069577374266427e+69</x:v>
      </x:c>
      <x:c r="F315" s="8" t="n">
        <x:v>1.3449802330906176e+70</x:v>
      </x:c>
      <x:c r="G315" s="8" t="n">
        <x:v>8.597819189188581e+69</x:v>
      </x:c>
      <x:c r="H315" s="10" t="n">
        <x:f>IF(F315=0,"No spend",E315/F315)</x:f>
        <x:v>0.6743279307105896</x:v>
      </x:c>
    </x:row>
    <x:row r="316">
      <x:c r="A316" t="str">
        <x:v>Spender (no paid power)</x:v>
      </x:c>
      <x:c r="B316" t="n">
        <x:v>41</x:v>
      </x:c>
      <x:c r="C316" t="n">
        <x:v>1000</x:v>
      </x:c>
      <x:c r="D316" t="n">
        <x:v>958</x:v>
      </x:c>
      <x:c r="E316" s="8" t="n">
        <x:v>9.34816507518226e+69</x:v>
      </x:c>
      <x:c r="F316" s="8" t="n">
        <x:v>7.94140980592832e+69</x:v>
      </x:c>
      <x:c r="G316" s="8" t="n">
        <x:v>1.0004574458441799e+70</x:v>
      </x:c>
      <x:c r="H316" s="10" t="n">
        <x:f>IF(F316=0,"No spend",E316/F316)</x:f>
        <x:v>1.1771417548813294</x:v>
      </x:c>
    </x:row>
    <x:row r="317">
      <x:c r="A317" t="str">
        <x:v>Spender (no paid power)</x:v>
      </x:c>
      <x:c r="B317" t="n">
        <x:v>42</x:v>
      </x:c>
      <x:c r="C317" t="n">
        <x:v>1000</x:v>
      </x:c>
      <x:c r="D317" t="n">
        <x:v>958</x:v>
      </x:c>
      <x:c r="E317" s="8" t="n">
        <x:v>9.208871224724343e+69</x:v>
      </x:c>
      <x:c r="F317" s="8" t="n">
        <x:v>8.35245453535579e+69</x:v>
      </x:c>
      <x:c r="G317" s="8" t="n">
        <x:v>1.086099114780954e+70</x:v>
      </x:c>
      <x:c r="H317" s="10" t="n">
        <x:f>IF(F317=0,"No spend",E317/F317)</x:f>
        <x:v>1.102534732244678</x:v>
      </x:c>
    </x:row>
    <x:row r="318">
      <x:c r="A318" t="str">
        <x:v>Spender (no paid power)</x:v>
      </x:c>
      <x:c r="B318" t="n">
        <x:v>43</x:v>
      </x:c>
      <x:c r="C318" t="n">
        <x:v>1000</x:v>
      </x:c>
      <x:c r="D318" t="n">
        <x:v>959</x:v>
      </x:c>
      <x:c r="E318" s="8" t="n">
        <x:v>9.208871224724343e+69</x:v>
      </x:c>
      <x:c r="F318" s="8" t="n">
        <x:v>1.1126369975598021e+70</x:v>
      </x:c>
      <x:c r="G318" s="8" t="n">
        <x:v>8.943492396935083e+69</x:v>
      </x:c>
      <x:c r="H318" s="10" t="n">
        <x:f>IF(F318=0,"No spend",E318/F318)</x:f>
        <x:v>0.8276617841147588</x:v>
      </x:c>
    </x:row>
    <x:row r="319">
      <x:c r="A319" t="str">
        <x:v>Spender (no paid power)</x:v>
      </x:c>
      <x:c r="B319" t="n">
        <x:v>44</x:v>
      </x:c>
      <x:c r="C319" t="n">
        <x:v>1000</x:v>
      </x:c>
      <x:c r="D319" t="n">
        <x:v>959</x:v>
      </x:c>
      <x:c r="E319" s="8" t="n">
        <x:v>9.255302508210315e+69</x:v>
      </x:c>
      <x:c r="F319" s="8" t="n">
        <x:v>8.978506417187969e+69</x:v>
      </x:c>
      <x:c r="G319" s="8" t="n">
        <x:v>9.220288487956692e+69</x:v>
      </x:c>
      <x:c r="H319" s="10" t="n">
        <x:f>IF(F319=0,"No spend",E319/F319)</x:f>
        <x:v>1.0308287456912058</x:v>
      </x:c>
    </x:row>
    <x:row r="320">
      <x:c r="A320" t="str">
        <x:v>Spender (no paid power)</x:v>
      </x:c>
      <x:c r="B320" t="n">
        <x:v>45</x:v>
      </x:c>
      <x:c r="C320" t="n">
        <x:v>1000</x:v>
      </x:c>
      <x:c r="D320" t="n">
        <x:v>959</x:v>
      </x:c>
      <x:c r="E320" s="8" t="n">
        <x:v>9.162439941238371e+69</x:v>
      </x:c>
      <x:c r="F320" s="8" t="n">
        <x:v>0</x:v>
      </x:c>
      <x:c r="G320" s="8" t="n">
        <x:v>1.8382728429194238e+70</x:v>
      </x:c>
      <x:c r="H320" s="10" t="str">
        <x:f>IF(F320=0,"No spend",E320/F320)</x:f>
        <x:v>No spend</x:v>
      </x:c>
    </x:row>
    <x:row r="321">
      <x:c r="A321" t="str">
        <x:v>Spender (no paid power)</x:v>
      </x:c>
      <x:c r="B321" t="n">
        <x:v>46</x:v>
      </x:c>
      <x:c r="C321" t="n">
        <x:v>1000</x:v>
      </x:c>
      <x:c r="D321" t="n">
        <x:v>959</x:v>
      </x:c>
      <x:c r="E321" s="8" t="n">
        <x:v>9.34816507518226e+69</x:v>
      </x:c>
      <x:c r="F321" s="8" t="n">
        <x:v>9.32406708068518e+69</x:v>
      </x:c>
      <x:c r="G321" s="8" t="n">
        <x:v>1.8406826423690607e+70</x:v>
      </x:c>
      <x:c r="H321" s="10" t="n">
        <x:f>IF(F321=0,"No spend",E321/F321)</x:f>
        <x:v>1.0025844939004138</x:v>
      </x:c>
    </x:row>
    <x:row r="322">
      <x:c r="A322" t="str">
        <x:v>Spender (no paid power)</x:v>
      </x:c>
      <x:c r="B322" t="n">
        <x:v>47</x:v>
      </x:c>
      <x:c r="C322" t="n">
        <x:v>1000</x:v>
      </x:c>
      <x:c r="D322" t="n">
        <x:v>959</x:v>
      </x:c>
      <x:c r="E322" s="8" t="n">
        <x:v>9.116008657752399e+69</x:v>
      </x:c>
      <x:c r="F322" s="8" t="n">
        <x:v>9.455983911648273e+69</x:v>
      </x:c>
      <x:c r="G322" s="8" t="n">
        <x:v>1.806685116979391e+70</x:v>
      </x:c>
      <x:c r="H322" s="10" t="n">
        <x:f>IF(F322=0,"No spend",E322/F322)</x:f>
        <x:v>0.9640465490347252</x:v>
      </x:c>
    </x:row>
    <x:row r="323">
      <x:c r="A323" t="str">
        <x:v>Spender (no paid power)</x:v>
      </x:c>
      <x:c r="B323" t="n">
        <x:v>48</x:v>
      </x:c>
      <x:c r="C323" t="n">
        <x:v>1000</x:v>
      </x:c>
      <x:c r="D323" t="n">
        <x:v>959</x:v>
      </x:c>
      <x:c r="E323" s="8" t="n">
        <x:v>9.255302508210315e+69</x:v>
      </x:c>
      <x:c r="F323" s="8" t="n">
        <x:v>9.487099999251553e+69</x:v>
      </x:c>
      <x:c r="G323" s="8" t="n">
        <x:v>1.7835053678751935e+70</x:v>
      </x:c>
      <x:c r="H323" s="10" t="n">
        <x:f>IF(F323=0,"No spend",E323/F323)</x:f>
        <x:v>0.975567086774723</x:v>
      </x:c>
    </x:row>
    <x:row r="324">
      <x:c r="A324" t="str">
        <x:v>Spender (no paid power)</x:v>
      </x:c>
      <x:c r="B324" t="n">
        <x:v>49</x:v>
      </x:c>
      <x:c r="C324" t="n">
        <x:v>1000</x:v>
      </x:c>
      <x:c r="D324" t="n">
        <x:v>959</x:v>
      </x:c>
      <x:c r="E324" s="8" t="n">
        <x:v>9.301733791696287e+69</x:v>
      </x:c>
      <x:c r="F324" s="8" t="n">
        <x:v>9.529691767114003e+69</x:v>
      </x:c>
      <x:c r="G324" s="8" t="n">
        <x:v>1.7607095703333507e+70</x:v>
      </x:c>
      <x:c r="H324" s="10" t="n">
        <x:f>IF(F324=0,"No spend",E324/F324)</x:f>
        <x:v>0.976079186925607</x:v>
      </x:c>
    </x:row>
    <x:row r="325">
      <x:c r="A325" t="str">
        <x:v>Spender (no paid power)</x:v>
      </x:c>
      <x:c r="B325" t="n">
        <x:v>50</x:v>
      </x:c>
      <x:c r="C325" t="n">
        <x:v>1000</x:v>
      </x:c>
      <x:c r="D325" t="n">
        <x:v>959</x:v>
      </x:c>
      <x:c r="E325" s="8" t="n">
        <x:v>9.069577374266427e+69</x:v>
      </x:c>
      <x:c r="F325" s="8" t="n">
        <x:v>1.0022945442426958e+70</x:v>
      </x:c>
      <x:c r="G325" s="8" t="n">
        <x:v>1.66537276351721e+70</x:v>
      </x:c>
      <x:c r="H325" s="10" t="n">
        <x:f>IF(F325=0,"No spend",E325/F325)</x:f>
        <x:v>0.9048814469123078</x:v>
      </x:c>
    </x:row>
    <x:row r="326">
      <x:c r="A326" t="str">
        <x:v>Spender (no paid power)</x:v>
      </x:c>
      <x:c r="B326" t="n">
        <x:v>51</x:v>
      </x:c>
      <x:c r="C326" t="n">
        <x:v>1000</x:v>
      </x:c>
      <x:c r="D326" t="n">
        <x:v>960</x:v>
      </x:c>
      <x:c r="E326" s="8" t="n">
        <x:v>9.394596358668231e+69</x:v>
      </x:c>
      <x:c r="F326" s="8" t="n">
        <x:v>1.3129116571205635e+70</x:v>
      </x:c>
      <x:c r="G326" s="8" t="n">
        <x:v>1.2919207422633998e+70</x:v>
      </x:c>
      <x:c r="H326" s="10" t="n">
        <x:f>IF(F326=0,"No spend",E326/F326)</x:f>
        <x:v>0.7155543412016132</x:v>
      </x:c>
    </x:row>
    <x:row r="327">
      <x:c r="A327" t="str">
        <x:v>Spender (no paid power)</x:v>
      </x:c>
      <x:c r="B327" t="n">
        <x:v>52</x:v>
      </x:c>
      <x:c r="C327" t="n">
        <x:v>1000</x:v>
      </x:c>
      <x:c r="D327" t="n">
        <x:v>960</x:v>
      </x:c>
      <x:c r="E327" s="8" t="n">
        <x:v>9.162439941238371e+69</x:v>
      </x:c>
      <x:c r="F327" s="8" t="n">
        <x:v>1.0774207700625524e+70</x:v>
      </x:c>
      <x:c r="G327" s="8" t="n">
        <x:v>1.1307439663246028e+70</x:v>
      </x:c>
      <x:c r="H327" s="10" t="n">
        <x:f>IF(F327=0,"No spend",E327/F327)</x:f>
        <x:v>0.850404985297102</x:v>
      </x:c>
    </x:row>
    <x:row r="328">
      <x:c r="A328" t="str">
        <x:v>Spender (no paid power)</x:v>
      </x:c>
      <x:c r="B328" t="n">
        <x:v>53</x:v>
      </x:c>
      <x:c r="C328" t="n">
        <x:v>1000</x:v>
      </x:c>
      <x:c r="D328" t="n">
        <x:v>960</x:v>
      </x:c>
      <x:c r="E328" s="8" t="n">
        <x:v>9.116008657752399e+69</x:v>
      </x:c>
      <x:c r="F328" s="8" t="n">
        <x:v>0</x:v>
      </x:c>
      <x:c r="G328" s="8" t="n">
        <x:v>2.0423448320997587e+70</x:v>
      </x:c>
      <x:c r="H328" s="10" t="str">
        <x:f>IF(F328=0,"No spend",E328/F328)</x:f>
        <x:v>No spend</x:v>
      </x:c>
    </x:row>
    <x:row r="329">
      <x:c r="A329" t="str">
        <x:v>Spender (no paid power)</x:v>
      </x:c>
      <x:c r="B329" t="n">
        <x:v>54</x:v>
      </x:c>
      <x:c r="C329" t="n">
        <x:v>1000</x:v>
      </x:c>
      <x:c r="D329" t="n">
        <x:v>960</x:v>
      </x:c>
      <x:c r="E329" s="8" t="n">
        <x:v>9.394596358668231e+69</x:v>
      </x:c>
      <x:c r="F329" s="8" t="n">
        <x:v>7.761439930808478e+69</x:v>
      </x:c>
      <x:c r="G329" s="8" t="n">
        <x:v>2.2056604748856648e+70</x:v>
      </x:c>
      <x:c r="H329" s="10" t="n">
        <x:f>IF(F329=0,"No spend",E329/F329)</x:f>
        <x:v>1.2104192575628985</x:v>
      </x:c>
    </x:row>
    <x:row r="330">
      <x:c r="A330" t="str">
        <x:v>Spender (no paid power)</x:v>
      </x:c>
      <x:c r="B330" t="n">
        <x:v>55</x:v>
      </x:c>
      <x:c r="C330" t="n">
        <x:v>1000</x:v>
      </x:c>
      <x:c r="D330" t="n">
        <x:v>960</x:v>
      </x:c>
      <x:c r="E330" s="8" t="n">
        <x:v>9.116008657752399e+69</x:v>
      </x:c>
      <x:c r="F330" s="8" t="n">
        <x:v>1.1188880496822235e+70</x:v>
      </x:c>
      <x:c r="G330" s="8" t="n">
        <x:v>1.998373290978598e+70</x:v>
      </x:c>
      <x:c r="H330" s="10" t="n">
        <x:f>IF(F330=0,"No spend",E330/F330)</x:f>
        <x:v>0.8147382269693063</x:v>
      </x:c>
    </x:row>
    <x:row r="331">
      <x:c r="A331" t="str">
        <x:v>Spender (no paid power)</x:v>
      </x:c>
      <x:c r="B331" t="n">
        <x:v>56</x:v>
      </x:c>
      <x:c r="C331" t="n">
        <x:v>1000</x:v>
      </x:c>
      <x:c r="D331" t="n">
        <x:v>960</x:v>
      </x:c>
      <x:c r="E331" s="8" t="n">
        <x:v>9.255302508210315e+69</x:v>
      </x:c>
      <x:c r="F331" s="8" t="n">
        <x:v>1.1347180693977908e+70</x:v>
      </x:c>
      <x:c r="G331" s="8" t="n">
        <x:v>1.789185472401765e+70</x:v>
      </x:c>
      <x:c r="H331" s="10" t="n">
        <x:f>IF(F331=0,"No spend",E331/F331)</x:f>
        <x:v>0.8156477593700628</x:v>
      </x:c>
    </x:row>
    <x:row r="332">
      <x:c r="A332" t="str">
        <x:v>Spender (no paid power)</x:v>
      </x:c>
      <x:c r="B332" t="n">
        <x:v>57</x:v>
      </x:c>
      <x:c r="C332" t="n">
        <x:v>1000</x:v>
      </x:c>
      <x:c r="D332" t="n">
        <x:v>960</x:v>
      </x:c>
      <x:c r="E332" s="8" t="n">
        <x:v>9.255302508210315e+69</x:v>
      </x:c>
      <x:c r="F332" s="8" t="n">
        <x:v>1.1384519999101884e+70</x:v>
      </x:c>
      <x:c r="G332" s="8" t="n">
        <x:v>1.576263723312538e+70</x:v>
      </x:c>
      <x:c r="H332" s="10" t="n">
        <x:f>IF(F332=0,"No spend",E332/F332)</x:f>
        <x:v>0.8129725723122678</x:v>
      </x:c>
    </x:row>
    <x:row r="333">
      <x:c r="A333" t="str">
        <x:v>Spender (no paid power)</x:v>
      </x:c>
      <x:c r="B333" t="n">
        <x:v>58</x:v>
      </x:c>
      <x:c r="C333" t="n">
        <x:v>1000</x:v>
      </x:c>
      <x:c r="D333" t="n">
        <x:v>960</x:v>
      </x:c>
      <x:c r="E333" s="8" t="n">
        <x:v>9.162439941238371e+69</x:v>
      </x:c>
      <x:c r="F333" s="8" t="n">
        <x:v>1.1435630120536824e+70</x:v>
      </x:c>
      <x:c r="G333" s="8" t="n">
        <x:v>1.3489447053826162e+70</x:v>
      </x:c>
      <x:c r="H333" s="10" t="n">
        <x:f>IF(F333=0,"No spend",E333/F333)</x:f>
        <x:v>0.8012186337492575</x:v>
      </x:c>
    </x:row>
    <x:row r="334">
      <x:c r="A334" t="str">
        <x:v>Spender (no paid power)</x:v>
      </x:c>
      <x:c r="B334" t="n">
        <x:v>59</x:v>
      </x:c>
      <x:c r="C334" t="n">
        <x:v>1000</x:v>
      </x:c>
      <x:c r="D334" t="n">
        <x:v>960</x:v>
      </x:c>
      <x:c r="E334" s="8" t="n">
        <x:v>9.301733791696287e+69</x:v>
      </x:c>
      <x:c r="F334" s="8" t="n">
        <x:v>0</x:v>
      </x:c>
      <x:c r="G334" s="8" t="n">
        <x:v>2.2791180845521743e+70</x:v>
      </x:c>
      <x:c r="H334" s="10" t="str">
        <x:f>IF(F334=0,"No spend",E334/F334)</x:f>
        <x:v>No spend</x:v>
      </x:c>
    </x:row>
    <x:row r="335">
      <x:c r="A335" t="str">
        <x:v>Spender (no paid power)</x:v>
      </x:c>
      <x:c r="B335" t="n">
        <x:v>60</x:v>
      </x:c>
      <x:c r="C335" t="n">
        <x:v>1000</x:v>
      </x:c>
      <x:c r="D335" t="n">
        <x:v>961</x:v>
      </x:c>
      <x:c r="E335" s="8" t="n">
        <x:v>9.162439941238371e+69</x:v>
      </x:c>
      <x:c r="F335" s="8" t="n">
        <x:v>1.5492357554022704e+70</x:v>
      </x:c>
      <x:c r="G335" s="8" t="n">
        <x:v>1.6461263232736623e+70</x:v>
      </x:c>
      <x:c r="H335" s="10" t="n">
        <x:f>IF(F335=0,"No spend",E335/F335)</x:f>
        <x:v>0.5914167620575783</x:v>
      </x:c>
    </x:row>
    <x:row r="336">
      <x:c r="A336" t="str">
        <x:v>Spender (no paid power)</x:v>
      </x:c>
      <x:c r="B336" t="n">
        <x:v>61</x:v>
      </x:c>
      <x:c r="C336" t="n">
        <x:v>1000</x:v>
      </x:c>
      <x:c r="D336" t="n">
        <x:v>961</x:v>
      </x:c>
      <x:c r="E336" s="8" t="n">
        <x:v>9.301733791696287e+69</x:v>
      </x:c>
      <x:c r="F336" s="8" t="n">
        <x:v>1.2027534530912311e+70</x:v>
      </x:c>
      <x:c r="G336" s="8" t="n">
        <x:v>1.3735462493519844e+70</x:v>
      </x:c>
      <x:c r="H336" s="10" t="n">
        <x:f>IF(F336=0,"No spend",E336/F336)</x:f>
        <x:v>0.773369951072652</x:v>
      </x:c>
    </x:row>
    <x:row r="337">
      <x:c r="A337" t="str">
        <x:v>Spender (no paid power)</x:v>
      </x:c>
      <x:c r="B337" t="n">
        <x:v>62</x:v>
      </x:c>
      <x:c r="C337" t="n">
        <x:v>1000</x:v>
      </x:c>
      <x:c r="D337" t="n">
        <x:v>961</x:v>
      </x:c>
      <x:c r="E337" s="8" t="n">
        <x:v>9.162439941238371e+69</x:v>
      </x:c>
      <x:c r="F337" s="8" t="n">
        <x:v>0</x:v>
      </x:c>
      <x:c r="G337" s="8" t="n">
        <x:v>2.289790243475742e+70</x:v>
      </x:c>
      <x:c r="H337" s="10" t="str">
        <x:f>IF(F337=0,"No spend",E337/F337)</x:f>
        <x:v>No spend</x:v>
      </x:c>
    </x:row>
    <x:row r="338">
      <x:c r="A338" t="str">
        <x:v>Spender (no paid power)</x:v>
      </x:c>
      <x:c r="B338" t="n">
        <x:v>63</x:v>
      </x:c>
      <x:c r="C338" t="n">
        <x:v>1000</x:v>
      </x:c>
      <x:c r="D338" t="n">
        <x:v>961</x:v>
      </x:c>
      <x:c r="E338" s="8" t="n">
        <x:v>9.162439941238371e+69</x:v>
      </x:c>
      <x:c r="F338" s="8" t="n">
        <x:v>1.2929049240750609e+70</x:v>
      </x:c>
      <x:c r="G338" s="8" t="n">
        <x:v>1.9131293135244344e+70</x:v>
      </x:c>
      <x:c r="H338" s="10" t="n">
        <x:f>IF(F338=0,"No spend",E338/F338)</x:f>
        <x:v>0.7086708210809194</x:v>
      </x:c>
    </x:row>
    <x:row r="339">
      <x:c r="A339" t="str">
        <x:v>Spender (no paid power)</x:v>
      </x:c>
      <x:c r="B339" t="n">
        <x:v>64</x:v>
      </x:c>
      <x:c r="C339" t="n">
        <x:v>1000</x:v>
      </x:c>
      <x:c r="D339" t="n">
        <x:v>961</x:v>
      </x:c>
      <x:c r="E339" s="8" t="n">
        <x:v>9.394596358668231e+69</x:v>
      </x:c>
      <x:c r="F339" s="8" t="n">
        <x:v>1.3426656596186643e+70</x:v>
      </x:c>
      <x:c r="G339" s="8" t="n">
        <x:v>1.509923289772526e+70</x:v>
      </x:c>
      <x:c r="H339" s="10" t="n">
        <x:f>IF(F339=0,"No spend",E339/F339)</x:f>
        <x:v>0.699697373755461</x:v>
      </x:c>
    </x:row>
    <x:row r="340">
      <x:c r="A340" t="str">
        <x:v>Spender (no paid power)</x:v>
      </x:c>
      <x:c r="B340" t="n">
        <x:v>65</x:v>
      </x:c>
      <x:c r="C340" t="n">
        <x:v>1000</x:v>
      </x:c>
      <x:c r="D340" t="n">
        <x:v>961</x:v>
      </x:c>
      <x:c r="E340" s="8" t="n">
        <x:v>9.069577374266427e+69</x:v>
      </x:c>
      <x:c r="F340" s="8" t="n">
        <x:v>0</x:v>
      </x:c>
      <x:c r="G340" s="8" t="n">
        <x:v>2.4168810271990827e+70</x:v>
      </x:c>
      <x:c r="H340" s="10" t="str">
        <x:f>IF(F340=0,"No spend",E340/F340)</x:f>
        <x:v>No spend</x:v>
      </x:c>
    </x:row>
    <x:row r="341">
      <x:c r="A341" t="str">
        <x:v>Spender (no paid power)</x:v>
      </x:c>
      <x:c r="B341" t="n">
        <x:v>66</x:v>
      </x:c>
      <x:c r="C341" t="n">
        <x:v>1000</x:v>
      </x:c>
      <x:c r="D341" t="n">
        <x:v>961</x:v>
      </x:c>
      <x:c r="E341" s="8" t="n">
        <x:v>9.301733791696287e+69</x:v>
      </x:c>
      <x:c r="F341" s="8" t="n">
        <x:v>1.361661683277347e+70</x:v>
      </x:c>
      <x:c r="G341" s="8" t="n">
        <x:v>1.9853927230912928e+70</x:v>
      </x:c>
      <x:c r="H341" s="10" t="n">
        <x:f>IF(F341=0,"No spend",E341/F341)</x:f>
        <x:v>0.6831163648012915</x:v>
      </x:c>
    </x:row>
    <x:row r="342">
      <x:c r="A342" t="str">
        <x:v>Spender (no paid power)</x:v>
      </x:c>
      <x:c r="B342" t="n">
        <x:v>67</x:v>
      </x:c>
      <x:c r="C342" t="n">
        <x:v>1000</x:v>
      </x:c>
      <x:c r="D342" t="n">
        <x:v>961</x:v>
      </x:c>
      <x:c r="E342" s="8" t="n">
        <x:v>9.255302508210315e+69</x:v>
      </x:c>
      <x:c r="F342" s="8" t="n">
        <x:v>1.3661423998922221e+70</x:v>
      </x:c>
      <x:c r="G342" s="8" t="n">
        <x:v>1.5447805740200304e+70</x:v>
      </x:c>
      <x:c r="H342" s="10" t="n">
        <x:f>IF(F342=0,"No spend",E342/F342)</x:f>
        <x:v>0.6774771435935585</x:v>
      </x:c>
    </x:row>
    <x:row r="343">
      <x:c r="A343" t="str">
        <x:v>Spender (no paid power)</x:v>
      </x:c>
      <x:c r="B343" t="n">
        <x:v>68</x:v>
      </x:c>
      <x:c r="C343" t="n">
        <x:v>1000</x:v>
      </x:c>
      <x:c r="D343" t="n">
        <x:v>961</x:v>
      </x:c>
      <x:c r="E343" s="8" t="n">
        <x:v>9.069577374266427e+69</x:v>
      </x:c>
      <x:c r="F343" s="8" t="n">
        <x:v>0</x:v>
      </x:c>
      <x:c r="G343" s="8" t="n">
        <x:v>2.4517383114465873e+70</x:v>
      </x:c>
      <x:c r="H343" s="10" t="str">
        <x:f>IF(F343=0,"No spend",E343/F343)</x:f>
        <x:v>No spend</x:v>
      </x:c>
    </x:row>
    <x:row r="344">
      <x:c r="A344" t="str">
        <x:v>Spender (no paid power)</x:v>
      </x:c>
      <x:c r="B344" t="n">
        <x:v>69</x:v>
      </x:c>
      <x:c r="C344" t="n">
        <x:v>1000</x:v>
      </x:c>
      <x:c r="D344" t="n">
        <x:v>961</x:v>
      </x:c>
      <x:c r="E344" s="8" t="n">
        <x:v>9.441027642154204e+69</x:v>
      </x:c>
      <x:c r="F344" s="8" t="n">
        <x:v>1.3722756144644169e+70</x:v>
      </x:c>
      <x:c r="G344" s="8" t="n">
        <x:v>2.023565461197532e+70</x:v>
      </x:c>
      <x:c r="H344" s="10" t="n">
        <x:f>IF(F344=0,"No spend",E344/F344)</x:f>
        <x:v>0.6879833426056271</x:v>
      </x:c>
    </x:row>
    <x:row r="345">
      <x:c r="A345" t="str">
        <x:v>Spender (no paid power)</x:v>
      </x:c>
      <x:c r="B345" t="n">
        <x:v>70</x:v>
      </x:c>
      <x:c r="C345" t="n">
        <x:v>1000</x:v>
      </x:c>
      <x:c r="D345" t="n">
        <x:v>962</x:v>
      </x:c>
      <x:c r="E345" s="8" t="n">
        <x:v>9.162439941238371e+69</x:v>
      </x:c>
      <x:c r="F345" s="8" t="n">
        <x:v>1.8280981913746743e+70</x:v>
      </x:c>
      <x:c r="G345" s="8" t="n">
        <x:v>1.111711263946613e+70</x:v>
      </x:c>
      <x:c r="H345" s="10" t="n">
        <x:f>IF(F345=0,"No spend",E345/F345)</x:f>
        <x:v>0.5012006458115084</x:v>
      </x:c>
    </x:row>
    <x:row r="346">
      <x:c r="A346" t="str">
        <x:v>Spender (no paid power)</x:v>
      </x:c>
      <x:c r="B346" t="n">
        <x:v>71</x:v>
      </x:c>
      <x:c r="C346" t="n">
        <x:v>1000</x:v>
      </x:c>
      <x:c r="D346" t="n">
        <x:v>962</x:v>
      </x:c>
      <x:c r="E346" s="8" t="n">
        <x:v>9.162439941238371e+69</x:v>
      </x:c>
      <x:c r="F346" s="8" t="n">
        <x:v>0</x:v>
      </x:c>
      <x:c r="G346" s="8" t="n">
        <x:v>2.027955258070369e+70</x:v>
      </x:c>
      <x:c r="H346" s="10" t="str">
        <x:f>IF(F346=0,"No spend",E346/F346)</x:f>
        <x:v>No spend</x:v>
      </x:c>
    </x:row>
    <x:row r="347">
      <x:c r="A347" t="str">
        <x:v>Spender (no paid power)</x:v>
      </x:c>
      <x:c r="B347" t="n">
        <x:v>72</x:v>
      </x:c>
      <x:c r="C347" t="n">
        <x:v>1000</x:v>
      </x:c>
      <x:c r="D347" t="n">
        <x:v>962</x:v>
      </x:c>
      <x:c r="E347" s="8" t="n">
        <x:v>9.301733791696287e+69</x:v>
      </x:c>
      <x:c r="F347" s="8" t="n">
        <x:v>1.443304143709485e+70</x:v>
      </x:c>
      <x:c r="G347" s="8" t="n">
        <x:v>1.5148244935304433e+70</x:v>
      </x:c>
      <x:c r="H347" s="10" t="n">
        <x:f>IF(F347=0,"No spend",E347/F347)</x:f>
        <x:v>0.6444749592272065</x:v>
      </x:c>
    </x:row>
    <x:row r="348">
      <x:c r="A348" t="str">
        <x:v>Spender (no paid power)</x:v>
      </x:c>
      <x:c r="B348" t="n">
        <x:v>73</x:v>
      </x:c>
      <x:c r="C348" t="n">
        <x:v>1000</x:v>
      </x:c>
      <x:c r="D348" t="n">
        <x:v>962</x:v>
      </x:c>
      <x:c r="E348" s="8" t="n">
        <x:v>9.162439941238371e+69</x:v>
      </x:c>
      <x:c r="F348" s="8" t="n">
        <x:v>0</x:v>
      </x:c>
      <x:c r="G348" s="8" t="n">
        <x:v>2.4310684876542007e+70</x:v>
      </x:c>
      <x:c r="H348" s="10" t="str">
        <x:f>IF(F348=0,"No spend",E348/F348)</x:f>
        <x:v>No spend</x:v>
      </x:c>
    </x:row>
    <x:row r="349">
      <x:c r="A349" t="str">
        <x:v>Spender (no paid power)</x:v>
      </x:c>
      <x:c r="B349" t="n">
        <x:v>74</x:v>
      </x:c>
      <x:c r="C349" t="n">
        <x:v>1000</x:v>
      </x:c>
      <x:c r="D349" t="n">
        <x:v>962</x:v>
      </x:c>
      <x:c r="E349" s="8" t="n">
        <x:v>9.301733791696287e+69</x:v>
      </x:c>
      <x:c r="F349" s="8" t="n">
        <x:v>1.551485908890079e+70</x:v>
      </x:c>
      <x:c r="G349" s="8" t="n">
        <x:v>1.8097559579336773e+70</x:v>
      </x:c>
      <x:c r="H349" s="10" t="n">
        <x:f>IF(F349=0,"No spend",E349/F349)</x:f>
        <x:v>0.599537110739902</x:v>
      </x:c>
    </x:row>
    <x:row r="350">
      <x:c r="A350" t="str">
        <x:v>Spender (no paid power)</x:v>
      </x:c>
      <x:c r="B350" t="n">
        <x:v>75</x:v>
      </x:c>
      <x:c r="C350" t="n">
        <x:v>1000</x:v>
      </x:c>
      <x:c r="D350" t="n">
        <x:v>962</x:v>
      </x:c>
      <x:c r="E350" s="8" t="n">
        <x:v>9.162439941238371e+69</x:v>
      </x:c>
      <x:c r="F350" s="8" t="n">
        <x:v>0</x:v>
      </x:c>
      <x:c r="G350" s="8" t="n">
        <x:v>2.7259999520574347e+70</x:v>
      </x:c>
      <x:c r="H350" s="10" t="str">
        <x:f>IF(F350=0,"No spend",E350/F350)</x:f>
        <x:v>No spend</x:v>
      </x:c>
    </x:row>
    <x:row r="351">
      <x:c r="A351" t="str">
        <x:v>Spender (no paid power)</x:v>
      </x:c>
      <x:c r="B351" t="n">
        <x:v>76</x:v>
      </x:c>
      <x:c r="C351" t="n">
        <x:v>1000</x:v>
      </x:c>
      <x:c r="D351" t="n">
        <x:v>962</x:v>
      </x:c>
      <x:c r="E351" s="8" t="n">
        <x:v>9.255302508210315e+69</x:v>
      </x:c>
      <x:c r="F351" s="8" t="n">
        <x:v>1.0866015903131948e+70</x:v>
      </x:c>
      <x:c r="G351" s="8" t="n">
        <x:v>2.5649286125651948e+70</x:v>
      </x:c>
      <x:c r="H351" s="10" t="n">
        <x:f>IF(F351=0,"No spend",E351/F351)</x:f>
        <x:v>0.8517659637827908</x:v>
      </x:c>
    </x:row>
    <x:row r="352">
      <x:c r="A352" t="str">
        <x:v>Spender (no paid power)</x:v>
      </x:c>
      <x:c r="B352" t="n">
        <x:v>77</x:v>
      </x:c>
      <x:c r="C352" t="n">
        <x:v>1000</x:v>
      </x:c>
      <x:c r="D352" t="n">
        <x:v>962</x:v>
      </x:c>
      <x:c r="E352" s="8" t="n">
        <x:v>9.208871224724343e+69</x:v>
      </x:c>
      <x:c r="F352" s="8" t="n">
        <x:v>1.611198791542399e+70</x:v>
      </x:c>
      <x:c r="G352" s="8" t="n">
        <x:v>1.8746169434951463e+70</x:v>
      </x:c>
      <x:c r="H352" s="10" t="n">
        <x:f>IF(F352=0,"No spend",E352/F352)</x:f>
        <x:v>0.5715540051956407</x:v>
      </x:c>
    </x:row>
    <x:row r="353">
      <x:c r="A353" t="str">
        <x:v>Spender (no paid power)</x:v>
      </x:c>
      <x:c r="B353" t="n">
        <x:v>78</x:v>
      </x:c>
      <x:c r="C353" t="n">
        <x:v>1000</x:v>
      </x:c>
      <x:c r="D353" t="n">
        <x:v>962</x:v>
      </x:c>
      <x:c r="E353" s="8" t="n">
        <x:v>9.162439941238371e+69</x:v>
      </x:c>
      <x:c r="F353" s="8" t="n">
        <x:v>0</x:v>
      </x:c>
      <x:c r="G353" s="8" t="n">
        <x:v>2.790860937618904e+70</x:v>
      </x:c>
      <x:c r="H353" s="10" t="str">
        <x:f>IF(F353=0,"No spend",E353/F353)</x:f>
        <x:v>No spend</x:v>
      </x:c>
    </x:row>
    <x:row r="354">
      <x:c r="A354" t="str">
        <x:v>Spender (no paid power)</x:v>
      </x:c>
      <x:c r="B354" t="n">
        <x:v>79</x:v>
      </x:c>
      <x:c r="C354" t="n">
        <x:v>1000</x:v>
      </x:c>
      <x:c r="D354" t="n">
        <x:v>962</x:v>
      </x:c>
      <x:c r="E354" s="8" t="n">
        <x:v>9.394596358668231e+69</x:v>
      </x:c>
      <x:c r="F354" s="8" t="n">
        <x:v>1.6339940199328144e+70</x:v>
      </x:c>
      <x:c r="G354" s="8" t="n">
        <x:v>2.096326553552839e+70</x:v>
      </x:c>
      <x:c r="H354" s="10" t="n">
        <x:f>IF(F354=0,"No spend",E354/F354)</x:f>
        <x:v>0.5749468017670293</x:v>
      </x:c>
    </x:row>
    <x:row r="355">
      <x:c r="A355" t="str">
        <x:v>Spender (no paid power)</x:v>
      </x:c>
      <x:c r="B355" t="n">
        <x:v>80</x:v>
      </x:c>
      <x:c r="C355" t="n">
        <x:v>1000</x:v>
      </x:c>
      <x:c r="D355" t="n">
        <x:v>962</x:v>
      </x:c>
      <x:c r="E355" s="8" t="n">
        <x:v>9.116008657752399e+69</x:v>
      </x:c>
      <x:c r="F355" s="8" t="n">
        <x:v>0</x:v>
      </x:c>
      <x:c r="G355" s="8" t="n">
        <x:v>3.0079274193279936e+70</x:v>
      </x:c>
      <x:c r="H355" s="10" t="str">
        <x:f>IF(F355=0,"No spend",E355/F355)</x:f>
        <x:v>No spend</x:v>
      </x:c>
    </x:row>
    <x:row r="356">
      <x:c r="A356" t="str">
        <x:v>Spender (no paid power)</x:v>
      </x:c>
      <x:c r="B356" t="n">
        <x:v>81</x:v>
      </x:c>
      <x:c r="C356" t="n">
        <x:v>1000</x:v>
      </x:c>
      <x:c r="D356" t="n">
        <x:v>962</x:v>
      </x:c>
      <x:c r="E356" s="8" t="n">
        <x:v>9.208871224724343e+69</x:v>
      </x:c>
      <x:c r="F356" s="8" t="n">
        <x:v>1.6393708798706646e+70</x:v>
      </x:c>
      <x:c r="G356" s="8" t="n">
        <x:v>2.289443661929684e+70</x:v>
      </x:c>
      <x:c r="H356" s="10" t="n">
        <x:f>IF(F356=0,"No spend",E356/F356)</x:f>
        <x:v>0.5617320240219749</x:v>
      </x:c>
    </x:row>
    <x:row r="357">
      <x:c r="A357" t="str">
        <x:v>Spender (no paid power)</x:v>
      </x:c>
      <x:c r="B357" t="n">
        <x:v>82</x:v>
      </x:c>
      <x:c r="C357" t="n">
        <x:v>1000</x:v>
      </x:c>
      <x:c r="D357" t="n">
        <x:v>962</x:v>
      </x:c>
      <x:c r="E357" s="8" t="n">
        <x:v>9.34816507518226e+69</x:v>
      </x:c>
      <x:c r="F357" s="8" t="n">
        <x:v>0</x:v>
      </x:c>
      <x:c r="G357" s="8" t="n">
        <x:v>3.224260169447836e+70</x:v>
      </x:c>
      <x:c r="H357" s="10" t="str">
        <x:f>IF(F357=0,"No spend",E357/F357)</x:f>
        <x:v>No spend</x:v>
      </x:c>
    </x:row>
    <x:row r="358">
      <x:c r="A358" t="str">
        <x:v>Spender (no paid power)</x:v>
      </x:c>
      <x:c r="B358" t="n">
        <x:v>83</x:v>
      </x:c>
      <x:c r="C358" t="n">
        <x:v>1000</x:v>
      </x:c>
      <x:c r="D358" t="n">
        <x:v>962</x:v>
      </x:c>
      <x:c r="E358" s="8" t="n">
        <x:v>9.069577374266427e+69</x:v>
      </x:c>
      <x:c r="F358" s="8" t="n">
        <x:v>1.6467307373573002e+70</x:v>
      </x:c>
      <x:c r="G358" s="8" t="n">
        <x:v>2.484487169517095e+70</x:v>
      </x:c>
      <x:c r="H358" s="10" t="n">
        <x:f>IF(F358=0,"No spend",E358/F358)</x:f>
        <x:v>0.5507626212662691</x:v>
      </x:c>
    </x:row>
    <x:row r="359">
      <x:c r="A359" t="str">
        <x:v>Spender (no paid power)</x:v>
      </x:c>
      <x:c r="B359" t="n">
        <x:v>84</x:v>
      </x:c>
      <x:c r="C359" t="n">
        <x:v>1000</x:v>
      </x:c>
      <x:c r="D359" t="n">
        <x:v>963</x:v>
      </x:c>
      <x:c r="E359" s="8" t="n">
        <x:v>9.34816507518226e+69</x:v>
      </x:c>
      <x:c r="F359" s="8" t="n">
        <x:v>2.1571558658221198e+70</x:v>
      </x:c>
      <x:c r="G359" s="8" t="n">
        <x:v>1.2621478112131292e+70</x:v>
      </x:c>
      <x:c r="H359" s="10" t="n">
        <x:f>IF(F359=0,"No spend",E359/F359)</x:f>
        <x:v>0.43335603250994353</x:v>
      </x:c>
    </x:row>
    <x:row r="360">
      <x:c r="A360" t="str">
        <x:v>Spender (no paid power)</x:v>
      </x:c>
      <x:c r="B360" t="n">
        <x:v>85</x:v>
      </x:c>
      <x:c r="C360" t="n">
        <x:v>1000</x:v>
      </x:c>
      <x:c r="D360" t="n">
        <x:v>963</x:v>
      </x:c>
      <x:c r="E360" s="8" t="n">
        <x:v>9.208871224724343e+69</x:v>
      </x:c>
      <x:c r="F360" s="8" t="n">
        <x:v>0</x:v>
      </x:c>
      <x:c r="G360" s="8" t="n">
        <x:v>2.1830349336854868e+70</x:v>
      </x:c>
      <x:c r="H360" s="10" t="str">
        <x:f>IF(F360=0,"No spend",E360/F360)</x:f>
        <x:v>No spend</x:v>
      </x:c>
    </x:row>
    <x:row r="361">
      <x:c r="A361" t="str">
        <x:v>Spender (no paid power)</x:v>
      </x:c>
      <x:c r="B361" t="n">
        <x:v>86</x:v>
      </x:c>
      <x:c r="C361" t="n">
        <x:v>1000</x:v>
      </x:c>
      <x:c r="D361" t="n">
        <x:v>963</x:v>
      </x:c>
      <x:c r="E361" s="8" t="n">
        <x:v>9.116008657752399e+69</x:v>
      </x:c>
      <x:c r="F361" s="8" t="n">
        <x:v>0</x:v>
      </x:c>
      <x:c r="G361" s="8" t="n">
        <x:v>3.0946357994606424e+70</x:v>
      </x:c>
      <x:c r="H361" s="10" t="str">
        <x:f>IF(F361=0,"No spend",E361/F361)</x:f>
        <x:v>No spend</x:v>
      </x:c>
    </x:row>
    <x:row r="362">
      <x:c r="A362" t="str">
        <x:v>Spender (no paid power)</x:v>
      </x:c>
      <x:c r="B362" t="n">
        <x:v>87</x:v>
      </x:c>
      <x:c r="C362" t="n">
        <x:v>1000</x:v>
      </x:c>
      <x:c r="D362" t="n">
        <x:v>963</x:v>
      </x:c>
      <x:c r="E362" s="8" t="n">
        <x:v>9.34816507518226e+69</x:v>
      </x:c>
      <x:c r="F362" s="8" t="n">
        <x:v>1.7319649724513783e+70</x:v>
      </x:c>
      <x:c r="G362" s="8" t="n">
        <x:v>2.2974873345274172e+70</x:v>
      </x:c>
      <x:c r="H362" s="10" t="n">
        <x:f>IF(F362=0,"No spend",E362/F362)</x:f>
        <x:v>0.5397433102790242</x:v>
      </x:c>
    </x:row>
    <x:row r="363">
      <x:c r="A363" t="str">
        <x:v>Spender (no paid power)</x:v>
      </x:c>
      <x:c r="B363" t="n">
        <x:v>88</x:v>
      </x:c>
      <x:c r="C363" t="n">
        <x:v>1000</x:v>
      </x:c>
      <x:c r="D363" t="n">
        <x:v>963</x:v>
      </x:c>
      <x:c r="E363" s="8" t="n">
        <x:v>9.162439941238371e+69</x:v>
      </x:c>
      <x:c r="F363" s="8" t="n">
        <x:v>0</x:v>
      </x:c>
      <x:c r="G363" s="8" t="n">
        <x:v>3.2137313286511697e+70</x:v>
      </x:c>
      <x:c r="H363" s="10" t="str">
        <x:f>IF(F363=0,"No spend",E363/F363)</x:f>
        <x:v>No spend</x:v>
      </x:c>
    </x:row>
    <x:row r="364">
      <x:c r="A364" t="str">
        <x:v>Spender (no paid power)</x:v>
      </x:c>
      <x:c r="B364" t="n">
        <x:v>89</x:v>
      </x:c>
      <x:c r="C364" t="n">
        <x:v>1000</x:v>
      </x:c>
      <x:c r="D364" t="n">
        <x:v>963</x:v>
      </x:c>
      <x:c r="E364" s="8" t="n">
        <x:v>9.255302508210315e+69</x:v>
      </x:c>
      <x:c r="F364" s="8" t="n">
        <x:v>1.8617830906680928e+70</x:v>
      </x:c>
      <x:c r="G364" s="8" t="n">
        <x:v>2.2774784888040284e+70</x:v>
      </x:c>
      <x:c r="H364" s="10" t="n">
        <x:f>IF(F364=0,"No spend",E364/F364)</x:f>
        <x:v>0.4971203441797879</x:v>
      </x:c>
    </x:row>
    <x:row r="365">
      <x:c r="A365" t="str">
        <x:v>Spender (no paid power)</x:v>
      </x:c>
      <x:c r="B365" t="n">
        <x:v>90</x:v>
      </x:c>
      <x:c r="C365" t="n">
        <x:v>1000</x:v>
      </x:c>
      <x:c r="D365" t="n">
        <x:v>963</x:v>
      </x:c>
      <x:c r="E365" s="8" t="n">
        <x:v>9.208871224724343e+69</x:v>
      </x:c>
      <x:c r="F365" s="8" t="n">
        <x:v>0</x:v>
      </x:c>
      <x:c r="G365" s="8" t="n">
        <x:v>3.198365611276381e+70</x:v>
      </x:c>
      <x:c r="H365" s="10" t="str">
        <x:f>IF(F365=0,"No spend",E365/F365)</x:f>
        <x:v>No spend</x:v>
      </x:c>
    </x:row>
  </x:sheetData>
  <x:pageMargins left="0.7" right="0.7" top="0.75" bottom="0.75" header="0.3" footer="0.3"/>
</x:worksheet>
</file>